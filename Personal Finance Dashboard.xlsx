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35f8de44282b7fb6/Desktop/"/>
    </mc:Choice>
  </mc:AlternateContent>
  <xr:revisionPtr revIDLastSave="534" documentId="8_{FB5DB840-6D78-4816-9648-F207EC5EEADD}" xr6:coauthVersionLast="47" xr6:coauthVersionMax="47" xr10:uidLastSave="{DE36E7C3-B551-4100-96FC-71CD48C3E080}"/>
  <bookViews>
    <workbookView xWindow="-108" yWindow="-108" windowWidth="23256" windowHeight="13896" xr2:uid="{854495C0-6655-4AA7-AD7C-CF2D88CB80D4}"/>
  </bookViews>
  <sheets>
    <sheet name="Raw Data" sheetId="1" r:id="rId1"/>
    <sheet name="Cleaned Data" sheetId="2" r:id="rId2"/>
    <sheet name="Budget Planning" sheetId="3" r:id="rId3"/>
    <sheet name="KPI Summary" sheetId="4" r:id="rId4"/>
    <sheet name="Pivot" sheetId="5" r:id="rId5"/>
    <sheet name="Dashboard" sheetId="6" r:id="rId6"/>
  </sheets>
  <definedNames>
    <definedName name="NativeTimeline_Date">#N/A</definedName>
    <definedName name="Slicer_Expense_Type">#N/A</definedName>
    <definedName name="Slicer_Indicator">#N/A</definedName>
    <definedName name="Slicer_Month">#N/A</definedName>
    <definedName name="Slicer_Payment_Mode">#N/A</definedName>
  </definedNames>
  <calcPr calcId="191029"/>
  <pivotCaches>
    <pivotCache cacheId="22"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4" l="1"/>
  <c r="B3" i="4"/>
  <c r="B2" i="4"/>
  <c r="B4" i="4" s="1"/>
  <c r="B5" i="4" s="1"/>
  <c r="C3" i="3"/>
  <c r="D3" i="3" s="1"/>
  <c r="C4" i="3"/>
  <c r="D4" i="3" s="1"/>
  <c r="C5" i="3"/>
  <c r="D5" i="3" s="1"/>
  <c r="C6" i="3"/>
  <c r="D6" i="3" s="1"/>
  <c r="C7" i="3"/>
  <c r="D7" i="3" s="1"/>
  <c r="C2" i="3"/>
  <c r="B8" i="3"/>
  <c r="C8" i="3" l="1"/>
  <c r="D2" i="3"/>
  <c r="D8" i="3" l="1"/>
  <c r="B7" i="4" s="1"/>
</calcChain>
</file>

<file path=xl/sharedStrings.xml><?xml version="1.0" encoding="utf-8"?>
<sst xmlns="http://schemas.openxmlformats.org/spreadsheetml/2006/main" count="1471" uniqueCount="72">
  <si>
    <t>Date</t>
  </si>
  <si>
    <t>Month</t>
  </si>
  <si>
    <t>Income Source</t>
  </si>
  <si>
    <t>Expense Category</t>
  </si>
  <si>
    <t>Expense Type</t>
  </si>
  <si>
    <t>Payment Mode</t>
  </si>
  <si>
    <t>Amount</t>
  </si>
  <si>
    <t>Indicator</t>
  </si>
  <si>
    <t>Savings</t>
  </si>
  <si>
    <t>Budget Allocated</t>
  </si>
  <si>
    <t>Budget Remaining</t>
  </si>
  <si>
    <t>Notes</t>
  </si>
  <si>
    <t>Jan</t>
  </si>
  <si>
    <t>Salary</t>
  </si>
  <si>
    <t>-</t>
  </si>
  <si>
    <t>Bank Transfer</t>
  </si>
  <si>
    <t>Income</t>
  </si>
  <si>
    <t>Monthly Salary</t>
  </si>
  <si>
    <t>Rent</t>
  </si>
  <si>
    <t>Fixed</t>
  </si>
  <si>
    <t>Expense</t>
  </si>
  <si>
    <t>House Rent</t>
  </si>
  <si>
    <t>Food</t>
  </si>
  <si>
    <t>Variable</t>
  </si>
  <si>
    <t>UPI</t>
  </si>
  <si>
    <t>Groceries</t>
  </si>
  <si>
    <t>Freelance</t>
  </si>
  <si>
    <t>Side Income</t>
  </si>
  <si>
    <t>Travel</t>
  </si>
  <si>
    <t>Cash</t>
  </si>
  <si>
    <t>Auto</t>
  </si>
  <si>
    <t>Shopping</t>
  </si>
  <si>
    <t>Credit Card</t>
  </si>
  <si>
    <t>Clothes</t>
  </si>
  <si>
    <t>EMI</t>
  </si>
  <si>
    <t>Loan</t>
  </si>
  <si>
    <t>Business</t>
  </si>
  <si>
    <t>Profit</t>
  </si>
  <si>
    <t>Dinner</t>
  </si>
  <si>
    <t>Entertainment</t>
  </si>
  <si>
    <t>Movie</t>
  </si>
  <si>
    <t/>
  </si>
  <si>
    <t>Bonus</t>
  </si>
  <si>
    <t>Budget</t>
  </si>
  <si>
    <t>Feb</t>
  </si>
  <si>
    <t>Mar</t>
  </si>
  <si>
    <t>Apr</t>
  </si>
  <si>
    <t>Groceries/Dining</t>
  </si>
  <si>
    <t>Personal Shopping</t>
  </si>
  <si>
    <t>Leisure</t>
  </si>
  <si>
    <t>Freelance Payment</t>
  </si>
  <si>
    <t>Transport/Fuel</t>
  </si>
  <si>
    <t>Loan Repayment</t>
  </si>
  <si>
    <t>Business Profit</t>
  </si>
  <si>
    <t>Performance Bonus</t>
  </si>
  <si>
    <t>KPI</t>
  </si>
  <si>
    <t>Total Income</t>
  </si>
  <si>
    <t>Total Expense</t>
  </si>
  <si>
    <t>Net Savings</t>
  </si>
  <si>
    <t>Actual Expense</t>
  </si>
  <si>
    <t>Expenses Category</t>
  </si>
  <si>
    <t>Total</t>
  </si>
  <si>
    <t>Savings Rate %</t>
  </si>
  <si>
    <t>VALUE</t>
  </si>
  <si>
    <t>Total Budget</t>
  </si>
  <si>
    <t>Row Labels</t>
  </si>
  <si>
    <t>(blank)</t>
  </si>
  <si>
    <t>Grand Total</t>
  </si>
  <si>
    <t>Sum of Amount</t>
  </si>
  <si>
    <t>(All)</t>
  </si>
  <si>
    <t>Column Labels</t>
  </si>
  <si>
    <t>PERSONAL FINANCE AND EXPENSE MANAGEMENT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</si>
</sst>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quot;₹&quot;\ #,##0"/>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b/>
      <sz val="25"/>
      <color rgb="FF0070C0"/>
      <name val="Calibri"/>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0" fontId="2" fillId="0" borderId="0" xfId="0" applyFont="1" applyAlignment="1">
      <alignment horizontal="center" vertical="center" wrapText="1"/>
    </xf>
    <xf numFmtId="14" fontId="0" fillId="0" borderId="0" xfId="0" applyNumberFormat="1" applyAlignment="1">
      <alignment vertical="center" wrapText="1"/>
    </xf>
    <xf numFmtId="0" fontId="0" fillId="0" borderId="0" xfId="0" applyAlignment="1">
      <alignment vertical="center" wrapText="1"/>
    </xf>
    <xf numFmtId="1" fontId="0" fillId="0" borderId="0" xfId="0" applyNumberFormat="1"/>
    <xf numFmtId="0" fontId="0" fillId="0" borderId="1" xfId="0" applyBorder="1" applyAlignment="1">
      <alignment vertical="center" wrapText="1"/>
    </xf>
    <xf numFmtId="0" fontId="0" fillId="0" borderId="1" xfId="0" applyFont="1" applyBorder="1" applyAlignment="1">
      <alignment horizontal="right" vertical="center" wrapText="1"/>
    </xf>
    <xf numFmtId="0" fontId="0" fillId="0" borderId="0" xfId="0" pivotButton="1"/>
    <xf numFmtId="0" fontId="0" fillId="0" borderId="0" xfId="0" applyAlignment="1">
      <alignment horizontal="left"/>
    </xf>
    <xf numFmtId="0" fontId="0" fillId="0" borderId="0" xfId="0" applyNumberFormat="1"/>
    <xf numFmtId="0" fontId="5" fillId="0" borderId="2" xfId="0" applyFont="1" applyBorder="1" applyAlignment="1">
      <alignment horizontal="left" vertical="center"/>
    </xf>
    <xf numFmtId="0" fontId="0" fillId="0" borderId="2" xfId="0" applyBorder="1"/>
    <xf numFmtId="10" fontId="0" fillId="0" borderId="0" xfId="0" applyNumberFormat="1"/>
    <xf numFmtId="0" fontId="3" fillId="0" borderId="3" xfId="0" applyFont="1" applyBorder="1" applyAlignment="1">
      <alignment vertical="center" wrapText="1"/>
    </xf>
    <xf numFmtId="172" fontId="3" fillId="0" borderId="4" xfId="0" applyNumberFormat="1" applyFont="1" applyBorder="1"/>
    <xf numFmtId="9" fontId="3" fillId="0" borderId="4" xfId="1" applyFont="1" applyBorder="1"/>
    <xf numFmtId="0" fontId="3" fillId="0" borderId="4" xfId="0" applyFont="1" applyBorder="1"/>
    <xf numFmtId="0" fontId="4" fillId="0" borderId="5" xfId="0" applyFont="1" applyBorder="1"/>
    <xf numFmtId="0" fontId="4" fillId="0" borderId="6" xfId="0" applyFont="1" applyBorder="1"/>
    <xf numFmtId="0" fontId="3" fillId="0" borderId="7" xfId="0" applyFont="1" applyBorder="1"/>
    <xf numFmtId="0" fontId="3" fillId="0" borderId="8" xfId="0" applyFont="1" applyBorder="1"/>
    <xf numFmtId="0" fontId="0" fillId="0" borderId="8" xfId="0" applyBorder="1"/>
    <xf numFmtId="0" fontId="0" fillId="0" borderId="3" xfId="0" applyBorder="1" applyAlignment="1">
      <alignment vertical="center" wrapText="1"/>
    </xf>
    <xf numFmtId="0" fontId="0" fillId="0" borderId="4" xfId="0" applyBorder="1"/>
    <xf numFmtId="0" fontId="2" fillId="0" borderId="5" xfId="0" applyFont="1" applyBorder="1" applyAlignment="1">
      <alignment horizontal="center" vertical="center" wrapText="1"/>
    </xf>
    <xf numFmtId="0" fontId="2" fillId="0" borderId="9" xfId="0" applyFont="1" applyBorder="1" applyAlignment="1">
      <alignment horizontal="center" vertical="center" wrapText="1"/>
    </xf>
    <xf numFmtId="0" fontId="2" fillId="0" borderId="9" xfId="0" applyFont="1" applyBorder="1" applyAlignment="1">
      <alignment vertical="center" wrapText="1"/>
    </xf>
    <xf numFmtId="0" fontId="2" fillId="0" borderId="6" xfId="0" applyFont="1" applyBorder="1" applyAlignment="1">
      <alignment vertical="center" wrapText="1"/>
    </xf>
    <xf numFmtId="0" fontId="0" fillId="0" borderId="7" xfId="0" applyBorder="1" applyAlignment="1">
      <alignment vertical="center" wrapText="1"/>
    </xf>
    <xf numFmtId="0" fontId="0" fillId="0" borderId="10" xfId="0" applyBorder="1" applyAlignment="1">
      <alignment vertical="center" wrapText="1"/>
    </xf>
  </cellXfs>
  <cellStyles count="2">
    <cellStyle name="Normal" xfId="0" builtinId="0"/>
    <cellStyle name="Percent" xfId="1" builtinId="5"/>
  </cellStyles>
  <dxfs count="24">
    <dxf>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ptos Narrow"/>
        <family val="2"/>
        <scheme val="minor"/>
      </font>
      <alignment horizontal="righ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1" formatCode="0"/>
    </dxf>
    <dxf>
      <numFmt numFmtId="1" formatCode="0"/>
    </dxf>
    <dxf>
      <numFmt numFmtId="1" formatCode="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numFmt numFmtId="1" formatCode="0"/>
    </dxf>
    <dxf>
      <numFmt numFmtId="1" formatCode="0"/>
    </dxf>
    <dxf>
      <numFmt numFmtId="1" formatCode="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dLblPos val="inEnd"/>
          <c:showLegendKey val="0"/>
          <c:showVal val="1"/>
          <c:showCatName val="0"/>
          <c:showSerName val="0"/>
          <c:showPercent val="0"/>
          <c:showBubbleSize val="0"/>
        </c:dLbls>
        <c:gapWidth val="41"/>
        <c:axId val="595251951"/>
        <c:axId val="595252431"/>
      </c:barChart>
      <c:catAx>
        <c:axId val="595251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95252431"/>
        <c:crosses val="autoZero"/>
        <c:auto val="1"/>
        <c:lblAlgn val="ctr"/>
        <c:lblOffset val="100"/>
        <c:noMultiLvlLbl val="0"/>
      </c:catAx>
      <c:valAx>
        <c:axId val="595252431"/>
        <c:scaling>
          <c:orientation val="minMax"/>
        </c:scaling>
        <c:delete val="1"/>
        <c:axPos val="l"/>
        <c:numFmt formatCode="General" sourceLinked="1"/>
        <c:majorTickMark val="none"/>
        <c:minorTickMark val="none"/>
        <c:tickLblPos val="nextTo"/>
        <c:crossAx val="59525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ivotFmts>
      <c:pivotFmt>
        <c:idx val="0"/>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5"/>
          </a:solidFill>
          <a:ln>
            <a:noFill/>
          </a:ln>
          <a:effectLst>
            <a:outerShdw blurRad="254000" sx="102000" sy="102000" algn="ctr" rotWithShape="0">
              <a:prstClr val="black">
                <a:alpha val="20000"/>
              </a:prstClr>
            </a:outerShdw>
          </a:effectLst>
        </c:spPr>
        <c:dLbl>
          <c:idx val="0"/>
          <c:layout>
            <c:manualLayout>
              <c:x val="-0.18611111111111112"/>
              <c:y val="-8.4875562720133283E-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5">
              <a:shade val="65000"/>
            </a:schemeClr>
          </a:solidFill>
          <a:ln>
            <a:noFill/>
          </a:ln>
          <a:effectLst>
            <a:outerShdw blurRad="254000" sx="102000" sy="102000" algn="ctr" rotWithShape="0">
              <a:prstClr val="black">
                <a:alpha val="20000"/>
              </a:prstClr>
            </a:outerShdw>
          </a:effectLst>
        </c:spPr>
        <c:dLbl>
          <c:idx val="0"/>
          <c:layout>
            <c:manualLayout>
              <c:x val="-0.14444444444444443"/>
              <c:y val="-6.481481481481483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5">
              <a:tint val="65000"/>
            </a:schemeClr>
          </a:solidFill>
          <a:ln>
            <a:noFill/>
          </a:ln>
          <a:effectLst>
            <a:outerShdw blurRad="254000" sx="102000" sy="102000" algn="ctr" rotWithShape="0">
              <a:prstClr val="black">
                <a:alpha val="20000"/>
              </a:prstClr>
            </a:outerShdw>
          </a:effectLst>
        </c:spPr>
        <c:dLbl>
          <c:idx val="0"/>
          <c:layout>
            <c:manualLayout>
              <c:x val="0.13055555555555556"/>
              <c:y val="-4.629629629629629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5">
              <a:tint val="65000"/>
            </a:schemeClr>
          </a:solidFill>
          <a:ln>
            <a:noFill/>
          </a:ln>
          <a:effectLst>
            <a:outerShdw blurRad="254000" sx="102000" sy="102000" algn="ctr" rotWithShape="0">
              <a:prstClr val="black">
                <a:alpha val="20000"/>
              </a:prstClr>
            </a:outerShdw>
          </a:effectLst>
        </c:spPr>
        <c:dLbl>
          <c:idx val="0"/>
          <c:layout>
            <c:manualLayout>
              <c:x val="0.13055555555555556"/>
              <c:y val="-4.629629629629629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5"/>
          </a:solidFill>
          <a:ln>
            <a:noFill/>
          </a:ln>
          <a:effectLst>
            <a:outerShdw blurRad="254000" sx="102000" sy="102000" algn="ctr" rotWithShape="0">
              <a:prstClr val="black">
                <a:alpha val="20000"/>
              </a:prstClr>
            </a:outerShdw>
          </a:effectLst>
        </c:spPr>
        <c:dLbl>
          <c:idx val="0"/>
          <c:layout>
            <c:manualLayout>
              <c:x val="-0.18611111111111112"/>
              <c:y val="-8.4875562720133283E-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5">
              <a:shade val="65000"/>
            </a:schemeClr>
          </a:solidFill>
          <a:ln>
            <a:noFill/>
          </a:ln>
          <a:effectLst>
            <a:outerShdw blurRad="254000" sx="102000" sy="102000" algn="ctr" rotWithShape="0">
              <a:prstClr val="black">
                <a:alpha val="20000"/>
              </a:prstClr>
            </a:outerShdw>
          </a:effectLst>
        </c:spPr>
        <c:dLbl>
          <c:idx val="0"/>
          <c:layout>
            <c:manualLayout>
              <c:x val="-0.14444444444444443"/>
              <c:y val="-6.481481481481483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5">
              <a:tint val="65000"/>
            </a:schemeClr>
          </a:solidFill>
          <a:ln>
            <a:noFill/>
          </a:ln>
          <a:effectLst>
            <a:outerShdw blurRad="254000" sx="102000" sy="102000" algn="ctr" rotWithShape="0">
              <a:prstClr val="black">
                <a:alpha val="20000"/>
              </a:prstClr>
            </a:outerShdw>
          </a:effectLst>
        </c:spPr>
        <c:dLbl>
          <c:idx val="0"/>
          <c:layout>
            <c:manualLayout>
              <c:x val="0.13055555555555556"/>
              <c:y val="-4.629629629629629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5"/>
          </a:solidFill>
          <a:ln>
            <a:noFill/>
          </a:ln>
          <a:effectLst>
            <a:outerShdw blurRad="254000" sx="102000" sy="102000" algn="ctr" rotWithShape="0">
              <a:prstClr val="black">
                <a:alpha val="20000"/>
              </a:prstClr>
            </a:outerShdw>
          </a:effectLst>
        </c:spPr>
        <c:dLbl>
          <c:idx val="0"/>
          <c:layout>
            <c:manualLayout>
              <c:x val="-0.18611111111111112"/>
              <c:y val="-8.4875562720133283E-17"/>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accent5">
              <a:shade val="65000"/>
            </a:schemeClr>
          </a:solidFill>
          <a:ln>
            <a:noFill/>
          </a:ln>
          <a:effectLst>
            <a:outerShdw blurRad="254000" sx="102000" sy="102000" algn="ctr" rotWithShape="0">
              <a:prstClr val="black">
                <a:alpha val="20000"/>
              </a:prstClr>
            </a:outerShdw>
          </a:effectLst>
        </c:spPr>
        <c:dLbl>
          <c:idx val="0"/>
          <c:layout>
            <c:manualLayout>
              <c:x val="-0.14444444444444443"/>
              <c:y val="-6.481481481481483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manualLayout>
          <c:layoutTarget val="inner"/>
          <c:xMode val="edge"/>
          <c:yMode val="edge"/>
          <c:x val="0.32414236537015789"/>
          <c:y val="0.11234498031496062"/>
          <c:w val="0.37125742448023141"/>
          <c:h val="0.69262713254593178"/>
        </c:manualLayout>
      </c:layout>
      <c:doughnutChart>
        <c:varyColors val="1"/>
        <c:dLbls>
          <c:showLegendKey val="0"/>
          <c:showVal val="0"/>
          <c:showCatName val="0"/>
          <c:showSerName val="0"/>
          <c:showPercent val="0"/>
          <c:showBubbleSize val="0"/>
          <c:showLeaderLines val="0"/>
        </c:dLbls>
        <c:firstSliceAng val="0"/>
        <c:holeSize val="50"/>
      </c:doughnutChart>
      <c:spPr>
        <a:noFill/>
        <a:ln>
          <a:noFill/>
        </a:ln>
        <a:effectLst/>
      </c:spPr>
    </c:plotArea>
    <c:legend>
      <c:legendPos val="b"/>
      <c:layout>
        <c:manualLayout>
          <c:xMode val="edge"/>
          <c:yMode val="edge"/>
          <c:x val="0.34955639967114666"/>
          <c:y val="0.85481709317585297"/>
          <c:w val="0.30088720065770674"/>
          <c:h val="8.789124015748033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Dashboard.xlsx]Pivot!PivotTable1</c:name>
    <c:fmtId val="3"/>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Pivot!$A$4:$A$12</c:f>
              <c:strCache>
                <c:ptCount val="8"/>
                <c:pt idx="1">
                  <c:v>EMI</c:v>
                </c:pt>
                <c:pt idx="2">
                  <c:v>Entertainment</c:v>
                </c:pt>
                <c:pt idx="3">
                  <c:v>Food</c:v>
                </c:pt>
                <c:pt idx="4">
                  <c:v>Rent</c:v>
                </c:pt>
                <c:pt idx="5">
                  <c:v>Shopping</c:v>
                </c:pt>
                <c:pt idx="6">
                  <c:v>Travel</c:v>
                </c:pt>
                <c:pt idx="7">
                  <c:v>(blank)</c:v>
                </c:pt>
              </c:strCache>
            </c:strRef>
          </c:cat>
          <c:val>
            <c:numRef>
              <c:f>Pivot!$B$4:$B$12</c:f>
              <c:numCache>
                <c:formatCode>General</c:formatCode>
                <c:ptCount val="8"/>
                <c:pt idx="0">
                  <c:v>410199</c:v>
                </c:pt>
                <c:pt idx="1">
                  <c:v>75673</c:v>
                </c:pt>
                <c:pt idx="2">
                  <c:v>9112</c:v>
                </c:pt>
                <c:pt idx="3">
                  <c:v>9775</c:v>
                </c:pt>
                <c:pt idx="4">
                  <c:v>156864</c:v>
                </c:pt>
                <c:pt idx="5">
                  <c:v>36615</c:v>
                </c:pt>
                <c:pt idx="6">
                  <c:v>7193</c:v>
                </c:pt>
                <c:pt idx="7">
                  <c:v>70000</c:v>
                </c:pt>
              </c:numCache>
            </c:numRef>
          </c:val>
          <c:extLst>
            <c:ext xmlns:c16="http://schemas.microsoft.com/office/drawing/2014/chart" uri="{C3380CC4-5D6E-409C-BE32-E72D297353CC}">
              <c16:uniqueId val="{00000000-2937-442E-8D88-B11B62D47AE9}"/>
            </c:ext>
          </c:extLst>
        </c:ser>
        <c:dLbls>
          <c:dLblPos val="inEnd"/>
          <c:showLegendKey val="0"/>
          <c:showVal val="0"/>
          <c:showCatName val="0"/>
          <c:showSerName val="0"/>
          <c:showPercent val="0"/>
          <c:showBubbleSize val="0"/>
        </c:dLbls>
        <c:gapWidth val="65"/>
        <c:axId val="2132719663"/>
        <c:axId val="2132718703"/>
      </c:barChart>
      <c:catAx>
        <c:axId val="21327196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2718703"/>
        <c:crosses val="autoZero"/>
        <c:auto val="1"/>
        <c:lblAlgn val="ctr"/>
        <c:lblOffset val="100"/>
        <c:noMultiLvlLbl val="0"/>
      </c:catAx>
      <c:valAx>
        <c:axId val="213271870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32719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Dashboard.xlsx]Pivot!PivotTable2</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Pivot!$B$13:$B$14</c:f>
              <c:strCache>
                <c:ptCount val="1"/>
                <c:pt idx="0">
                  <c:v>Expense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Pivot!$A$15:$A$19</c:f>
              <c:strCache>
                <c:ptCount val="4"/>
                <c:pt idx="0">
                  <c:v>Jan</c:v>
                </c:pt>
                <c:pt idx="1">
                  <c:v>Feb</c:v>
                </c:pt>
                <c:pt idx="2">
                  <c:v>Mar</c:v>
                </c:pt>
                <c:pt idx="3">
                  <c:v>Apr</c:v>
                </c:pt>
              </c:strCache>
            </c:strRef>
          </c:cat>
          <c:val>
            <c:numRef>
              <c:f>Pivot!$B$15:$B$19</c:f>
              <c:numCache>
                <c:formatCode>General</c:formatCode>
                <c:ptCount val="4"/>
                <c:pt idx="0">
                  <c:v>114615</c:v>
                </c:pt>
                <c:pt idx="1">
                  <c:v>104939</c:v>
                </c:pt>
                <c:pt idx="2">
                  <c:v>50576</c:v>
                </c:pt>
                <c:pt idx="3">
                  <c:v>25102</c:v>
                </c:pt>
              </c:numCache>
            </c:numRef>
          </c:val>
          <c:smooth val="0"/>
          <c:extLst>
            <c:ext xmlns:c16="http://schemas.microsoft.com/office/drawing/2014/chart" uri="{C3380CC4-5D6E-409C-BE32-E72D297353CC}">
              <c16:uniqueId val="{00000000-DDC6-42D1-BF4D-1573562D225E}"/>
            </c:ext>
          </c:extLst>
        </c:ser>
        <c:ser>
          <c:idx val="1"/>
          <c:order val="1"/>
          <c:tx>
            <c:strRef>
              <c:f>Pivot!$C$13:$C$14</c:f>
              <c:strCache>
                <c:ptCount val="1"/>
                <c:pt idx="0">
                  <c:v>Income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Pivot!$A$15:$A$19</c:f>
              <c:strCache>
                <c:ptCount val="4"/>
                <c:pt idx="0">
                  <c:v>Jan</c:v>
                </c:pt>
                <c:pt idx="1">
                  <c:v>Feb</c:v>
                </c:pt>
                <c:pt idx="2">
                  <c:v>Mar</c:v>
                </c:pt>
                <c:pt idx="3">
                  <c:v>Apr</c:v>
                </c:pt>
              </c:strCache>
            </c:strRef>
          </c:cat>
          <c:val>
            <c:numRef>
              <c:f>Pivot!$C$15:$C$19</c:f>
              <c:numCache>
                <c:formatCode>General</c:formatCode>
                <c:ptCount val="4"/>
                <c:pt idx="0">
                  <c:v>200609</c:v>
                </c:pt>
                <c:pt idx="1">
                  <c:v>120214</c:v>
                </c:pt>
                <c:pt idx="2">
                  <c:v>107823</c:v>
                </c:pt>
                <c:pt idx="3">
                  <c:v>51553</c:v>
                </c:pt>
              </c:numCache>
            </c:numRef>
          </c:val>
          <c:smooth val="0"/>
          <c:extLst>
            <c:ext xmlns:c16="http://schemas.microsoft.com/office/drawing/2014/chart" uri="{C3380CC4-5D6E-409C-BE32-E72D297353CC}">
              <c16:uniqueId val="{00000001-DDC6-42D1-BF4D-1573562D225E}"/>
            </c:ext>
          </c:extLst>
        </c:ser>
        <c:dLbls>
          <c:showLegendKey val="0"/>
          <c:showVal val="0"/>
          <c:showCatName val="0"/>
          <c:showSerName val="0"/>
          <c:showPercent val="0"/>
          <c:showBubbleSize val="0"/>
        </c:dLbls>
        <c:marker val="1"/>
        <c:smooth val="0"/>
        <c:axId val="906161103"/>
        <c:axId val="906163023"/>
      </c:lineChart>
      <c:catAx>
        <c:axId val="9061611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63023"/>
        <c:crosses val="autoZero"/>
        <c:auto val="1"/>
        <c:lblAlgn val="ctr"/>
        <c:lblOffset val="100"/>
        <c:noMultiLvlLbl val="0"/>
      </c:catAx>
      <c:valAx>
        <c:axId val="90616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1611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Dashboard.xlsx]Pivot!PivotTable7</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c:spPr>
        <c:dLbl>
          <c:idx val="0"/>
          <c:layout>
            <c:manualLayout>
              <c:x val="0.1"/>
              <c:y val="6.4814814814814894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3C839BDC-ED31-4226-BCD8-4D08B2F54BAF}" type="PERCENTAGE">
                  <a:rPr lang="en-US" baseline="0"/>
                  <a:pPr>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3"/>
          </a:solidFill>
          <a:ln>
            <a:noFill/>
          </a:ln>
          <a:effectLst>
            <a:outerShdw blurRad="254000" sx="102000" sy="102000" algn="ctr" rotWithShape="0">
              <a:prstClr val="black">
                <a:alpha val="20000"/>
              </a:prstClr>
            </a:outerShdw>
          </a:effectLst>
        </c:spPr>
        <c:dLbl>
          <c:idx val="0"/>
          <c:layout>
            <c:manualLayout>
              <c:x val="-0.14444444444444449"/>
              <c:y val="-7.8703703703703706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687DDA80-F5EF-4832-A48D-A9CEA431E6C9}" type="PERCENTAGE">
                  <a:rPr lang="en-US" baseline="0"/>
                  <a:pPr>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3001053813003883"/>
          <c:y val="0.11670051345443259"/>
          <c:w val="0.40345045222571591"/>
          <c:h val="0.75597937620236366"/>
        </c:manualLayout>
      </c:layout>
      <c:doughnutChart>
        <c:varyColors val="1"/>
        <c:ser>
          <c:idx val="0"/>
          <c:order val="0"/>
          <c:tx>
            <c:strRef>
              <c:f>Pivot!$B$33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678-46DD-9204-B086F69CF1B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678-46DD-9204-B086F69CF1BD}"/>
              </c:ext>
            </c:extLst>
          </c:dPt>
          <c:dPt>
            <c:idx val="2"/>
            <c:bubble3D val="0"/>
            <c:spPr>
              <a:solidFill>
                <a:schemeClr val="accent3"/>
              </a:solidFill>
              <a:ln>
                <a:noFill/>
              </a:ln>
              <a:effectLst>
                <a:outerShdw blurRad="254000" sx="102000" sy="102000" algn="ctr" rotWithShape="0">
                  <a:prstClr val="black">
                    <a:alpha val="20000"/>
                  </a:prstClr>
                </a:outerShdw>
              </a:effectLst>
            </c:spPr>
          </c:dPt>
          <c:dLbls>
            <c:dLbl>
              <c:idx val="1"/>
              <c:layout>
                <c:manualLayout>
                  <c:x val="0.1"/>
                  <c:y val="6.4814814814814894E-2"/>
                </c:manualLayout>
              </c:layout>
              <c:tx>
                <c:rich>
                  <a:bodyPr/>
                  <a:lstStyle/>
                  <a:p>
                    <a:r>
                      <a:rPr lang="en-US" baseline="0"/>
                      <a:t> </a:t>
                    </a:r>
                    <a:fld id="{3C839BDC-ED31-4226-BCD8-4D08B2F54BAF}"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678-46DD-9204-B086F69CF1BD}"/>
                </c:ext>
              </c:extLst>
            </c:dLbl>
            <c:dLbl>
              <c:idx val="2"/>
              <c:layout>
                <c:manualLayout>
                  <c:x val="-0.14444444444444449"/>
                  <c:y val="-7.8703703703703706E-2"/>
                </c:manualLayout>
              </c:layout>
              <c:tx>
                <c:rich>
                  <a:bodyPr/>
                  <a:lstStyle/>
                  <a:p>
                    <a:r>
                      <a:rPr lang="en-US" baseline="0"/>
                      <a:t> </a:t>
                    </a:r>
                    <a:fld id="{687DDA80-F5EF-4832-A48D-A9CEA431E6C9}"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Pivot!$A$34:$A$37</c:f>
              <c:strCache>
                <c:ptCount val="3"/>
                <c:pt idx="1">
                  <c:v>Fixed</c:v>
                </c:pt>
                <c:pt idx="2">
                  <c:v>Variable</c:v>
                </c:pt>
              </c:strCache>
            </c:strRef>
          </c:cat>
          <c:val>
            <c:numRef>
              <c:f>Pivot!$B$34:$B$37</c:f>
              <c:numCache>
                <c:formatCode>0.00%</c:formatCode>
                <c:ptCount val="3"/>
                <c:pt idx="0">
                  <c:v>0.61926722042322269</c:v>
                </c:pt>
                <c:pt idx="1">
                  <c:v>0.29988096942216652</c:v>
                </c:pt>
                <c:pt idx="2">
                  <c:v>8.0851810154610793E-2</c:v>
                </c:pt>
              </c:numCache>
            </c:numRef>
          </c:val>
          <c:extLst>
            <c:ext xmlns:c16="http://schemas.microsoft.com/office/drawing/2014/chart" uri="{C3380CC4-5D6E-409C-BE32-E72D297353CC}">
              <c16:uniqueId val="{00000004-6678-46DD-9204-B086F69CF1B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Dashboard.xlsx]Pivot!PivotTable3</c:name>
    <c:fmtId val="9"/>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Pivot!$B$23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ED7-4B03-8831-6D171327331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ED7-4B03-8831-6D171327331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ED7-4B03-8831-6D171327331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ED7-4B03-8831-6D17132733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Pivot!$A$24:$A$28</c:f>
              <c:strCache>
                <c:ptCount val="4"/>
                <c:pt idx="0">
                  <c:v>Bank Transfer</c:v>
                </c:pt>
                <c:pt idx="1">
                  <c:v>Cash</c:v>
                </c:pt>
                <c:pt idx="2">
                  <c:v>Credit Card</c:v>
                </c:pt>
                <c:pt idx="3">
                  <c:v>UPI</c:v>
                </c:pt>
              </c:strCache>
            </c:strRef>
          </c:cat>
          <c:val>
            <c:numRef>
              <c:f>Pivot!$B$24:$B$28</c:f>
              <c:numCache>
                <c:formatCode>0.00%</c:formatCode>
                <c:ptCount val="4"/>
                <c:pt idx="0">
                  <c:v>0.90883134669622445</c:v>
                </c:pt>
                <c:pt idx="1">
                  <c:v>9.1987552728740526E-3</c:v>
                </c:pt>
                <c:pt idx="2">
                  <c:v>4.7218901488333583E-2</c:v>
                </c:pt>
                <c:pt idx="3">
                  <c:v>3.4750996542567941E-2</c:v>
                </c:pt>
              </c:numCache>
            </c:numRef>
          </c:val>
          <c:extLst>
            <c:ext xmlns:c16="http://schemas.microsoft.com/office/drawing/2014/chart" uri="{C3380CC4-5D6E-409C-BE32-E72D297353CC}">
              <c16:uniqueId val="{00000008-5ED7-4B03-8831-6D171327331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99060</xdr:colOff>
      <xdr:row>2</xdr:row>
      <xdr:rowOff>167640</xdr:rowOff>
    </xdr:from>
    <xdr:to>
      <xdr:col>4</xdr:col>
      <xdr:colOff>0</xdr:colOff>
      <xdr:row>6</xdr:row>
      <xdr:rowOff>144780</xdr:rowOff>
    </xdr:to>
    <xdr:grpSp>
      <xdr:nvGrpSpPr>
        <xdr:cNvPr id="2" name="Group 1">
          <a:extLst>
            <a:ext uri="{FF2B5EF4-FFF2-40B4-BE49-F238E27FC236}">
              <a16:creationId xmlns:a16="http://schemas.microsoft.com/office/drawing/2014/main" id="{9C268F70-1445-4BBF-9999-A2747A4F56CE}"/>
            </a:ext>
          </a:extLst>
        </xdr:cNvPr>
        <xdr:cNvGrpSpPr/>
      </xdr:nvGrpSpPr>
      <xdr:grpSpPr>
        <a:xfrm>
          <a:off x="99060" y="624840"/>
          <a:ext cx="2339340" cy="717369"/>
          <a:chOff x="99060" y="617220"/>
          <a:chExt cx="2339340" cy="708660"/>
        </a:xfrm>
      </xdr:grpSpPr>
      <xdr:sp macro="" textlink="">
        <xdr:nvSpPr>
          <xdr:cNvPr id="3" name="Rectangle: Rounded Corners 2">
            <a:extLst>
              <a:ext uri="{FF2B5EF4-FFF2-40B4-BE49-F238E27FC236}">
                <a16:creationId xmlns:a16="http://schemas.microsoft.com/office/drawing/2014/main" id="{649C84DA-C9AE-26CF-0F4E-AE711DED47E5}"/>
              </a:ext>
            </a:extLst>
          </xdr:cNvPr>
          <xdr:cNvSpPr/>
        </xdr:nvSpPr>
        <xdr:spPr>
          <a:xfrm>
            <a:off x="99060" y="617220"/>
            <a:ext cx="2339340" cy="708660"/>
          </a:xfrm>
          <a:prstGeom prst="roundRect">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           </a:t>
            </a:r>
            <a:r>
              <a:rPr lang="en-IN" sz="1400" b="1" cap="none" spc="0" baseline="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 TOTAL INCOME</a:t>
            </a:r>
          </a:p>
          <a:p>
            <a:pPr algn="ctr"/>
            <a:r>
              <a:rPr lang="en-IN" sz="1400" b="1" cap="none" spc="0" baseline="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          100</a:t>
            </a:r>
          </a:p>
          <a:p>
            <a:pPr algn="ctr"/>
            <a:endParaRPr lang="en-IN" sz="14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endParaRPr>
          </a:p>
        </xdr:txBody>
      </xdr:sp>
      <xdr:grpSp>
        <xdr:nvGrpSpPr>
          <xdr:cNvPr id="4" name="Group 3">
            <a:extLst>
              <a:ext uri="{FF2B5EF4-FFF2-40B4-BE49-F238E27FC236}">
                <a16:creationId xmlns:a16="http://schemas.microsoft.com/office/drawing/2014/main" id="{1771A7D0-9006-F124-C843-78089B3DA883}"/>
              </a:ext>
            </a:extLst>
          </xdr:cNvPr>
          <xdr:cNvGrpSpPr/>
        </xdr:nvGrpSpPr>
        <xdr:grpSpPr>
          <a:xfrm>
            <a:off x="106680" y="624840"/>
            <a:ext cx="579120" cy="701040"/>
            <a:chOff x="129540" y="647700"/>
            <a:chExt cx="556260" cy="685800"/>
          </a:xfrm>
        </xdr:grpSpPr>
        <xdr:sp macro="" textlink="">
          <xdr:nvSpPr>
            <xdr:cNvPr id="5" name="Rectangle: Rounded Corners 4">
              <a:extLst>
                <a:ext uri="{FF2B5EF4-FFF2-40B4-BE49-F238E27FC236}">
                  <a16:creationId xmlns:a16="http://schemas.microsoft.com/office/drawing/2014/main" id="{4863969D-88DC-2AB9-40AE-BF9527903BF8}"/>
                </a:ext>
              </a:extLst>
            </xdr:cNvPr>
            <xdr:cNvSpPr/>
          </xdr:nvSpPr>
          <xdr:spPr>
            <a:xfrm>
              <a:off x="129540" y="647700"/>
              <a:ext cx="556260" cy="685800"/>
            </a:xfrm>
            <a:prstGeom prst="roundRect">
              <a:avLst/>
            </a:prstGeom>
            <a:solidFill>
              <a:srgbClr val="CCECFF"/>
            </a:solid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6" name="Graphic 5" descr="List with solid fill">
              <a:extLst>
                <a:ext uri="{FF2B5EF4-FFF2-40B4-BE49-F238E27FC236}">
                  <a16:creationId xmlns:a16="http://schemas.microsoft.com/office/drawing/2014/main" id="{464F07ED-DED5-CDAE-9063-D04850082A1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61" y="762000"/>
              <a:ext cx="448225" cy="468000"/>
            </a:xfrm>
            <a:prstGeom prst="rect">
              <a:avLst/>
            </a:prstGeom>
          </xdr:spPr>
        </xdr:pic>
      </xdr:grpSp>
    </xdr:grpSp>
    <xdr:clientData/>
  </xdr:twoCellAnchor>
  <xdr:twoCellAnchor>
    <xdr:from>
      <xdr:col>4</xdr:col>
      <xdr:colOff>152400</xdr:colOff>
      <xdr:row>2</xdr:row>
      <xdr:rowOff>160020</xdr:rowOff>
    </xdr:from>
    <xdr:to>
      <xdr:col>8</xdr:col>
      <xdr:colOff>137160</xdr:colOff>
      <xdr:row>6</xdr:row>
      <xdr:rowOff>137160</xdr:rowOff>
    </xdr:to>
    <xdr:grpSp>
      <xdr:nvGrpSpPr>
        <xdr:cNvPr id="7" name="Group 6">
          <a:extLst>
            <a:ext uri="{FF2B5EF4-FFF2-40B4-BE49-F238E27FC236}">
              <a16:creationId xmlns:a16="http://schemas.microsoft.com/office/drawing/2014/main" id="{F0E2C33A-6ACB-4A9C-88F3-26ABE1EF322B}"/>
            </a:ext>
          </a:extLst>
        </xdr:cNvPr>
        <xdr:cNvGrpSpPr/>
      </xdr:nvGrpSpPr>
      <xdr:grpSpPr>
        <a:xfrm>
          <a:off x="2590800" y="617220"/>
          <a:ext cx="2423160" cy="717369"/>
          <a:chOff x="2331720" y="1729740"/>
          <a:chExt cx="2423160" cy="708660"/>
        </a:xfrm>
      </xdr:grpSpPr>
      <xdr:sp macro="" textlink="">
        <xdr:nvSpPr>
          <xdr:cNvPr id="8" name="Rectangle: Rounded Corners 7">
            <a:extLst>
              <a:ext uri="{FF2B5EF4-FFF2-40B4-BE49-F238E27FC236}">
                <a16:creationId xmlns:a16="http://schemas.microsoft.com/office/drawing/2014/main" id="{A1AF31AC-0D8D-5307-5550-AE0B8D1BC6E5}"/>
              </a:ext>
            </a:extLst>
          </xdr:cNvPr>
          <xdr:cNvSpPr/>
        </xdr:nvSpPr>
        <xdr:spPr>
          <a:xfrm>
            <a:off x="2331720" y="1729740"/>
            <a:ext cx="2423160" cy="708660"/>
          </a:xfrm>
          <a:prstGeom prst="round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         </a:t>
            </a:r>
            <a:r>
              <a:rPr lang="en-IN" sz="1400" b="1" cap="none" spc="0" baseline="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  TOTAL EXPENSES</a:t>
            </a:r>
          </a:p>
          <a:p>
            <a:pPr algn="ctr"/>
            <a:r>
              <a:rPr lang="en-IN" sz="1400" b="1" cap="none" spc="0" baseline="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          15</a:t>
            </a:r>
          </a:p>
          <a:p>
            <a:pPr algn="ctr"/>
            <a:endParaRPr lang="en-IN" sz="14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9" name="Rectangle: Rounded Corners 8">
            <a:extLst>
              <a:ext uri="{FF2B5EF4-FFF2-40B4-BE49-F238E27FC236}">
                <a16:creationId xmlns:a16="http://schemas.microsoft.com/office/drawing/2014/main" id="{65F61E2E-27EC-C2AA-69B4-6634F6575D1B}"/>
              </a:ext>
            </a:extLst>
          </xdr:cNvPr>
          <xdr:cNvSpPr/>
        </xdr:nvSpPr>
        <xdr:spPr>
          <a:xfrm>
            <a:off x="2339613" y="1737360"/>
            <a:ext cx="599870" cy="701040"/>
          </a:xfrm>
          <a:prstGeom prst="roundRect">
            <a:avLst/>
          </a:prstGeom>
          <a:solidFill>
            <a:srgbClr val="99FF99"/>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0" name="Graphic 9" descr="Checkmark with solid fill">
            <a:extLst>
              <a:ext uri="{FF2B5EF4-FFF2-40B4-BE49-F238E27FC236}">
                <a16:creationId xmlns:a16="http://schemas.microsoft.com/office/drawing/2014/main" id="{EA18DBEB-9EA2-E3E5-F5A1-6994C5C7E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23160" y="1874520"/>
            <a:ext cx="468000" cy="468000"/>
          </a:xfrm>
          <a:prstGeom prst="rect">
            <a:avLst/>
          </a:prstGeom>
        </xdr:spPr>
      </xdr:pic>
    </xdr:grpSp>
    <xdr:clientData/>
  </xdr:twoCellAnchor>
  <xdr:twoCellAnchor>
    <xdr:from>
      <xdr:col>12</xdr:col>
      <xdr:colOff>449580</xdr:colOff>
      <xdr:row>2</xdr:row>
      <xdr:rowOff>175260</xdr:rowOff>
    </xdr:from>
    <xdr:to>
      <xdr:col>16</xdr:col>
      <xdr:colOff>434340</xdr:colOff>
      <xdr:row>6</xdr:row>
      <xdr:rowOff>152400</xdr:rowOff>
    </xdr:to>
    <xdr:grpSp>
      <xdr:nvGrpSpPr>
        <xdr:cNvPr id="11" name="Group 10">
          <a:extLst>
            <a:ext uri="{FF2B5EF4-FFF2-40B4-BE49-F238E27FC236}">
              <a16:creationId xmlns:a16="http://schemas.microsoft.com/office/drawing/2014/main" id="{B303D0F0-7500-4EF8-99FC-3E8316EA28DF}"/>
            </a:ext>
          </a:extLst>
        </xdr:cNvPr>
        <xdr:cNvGrpSpPr/>
      </xdr:nvGrpSpPr>
      <xdr:grpSpPr>
        <a:xfrm>
          <a:off x="8004266" y="632460"/>
          <a:ext cx="2423160" cy="717369"/>
          <a:chOff x="6850380" y="3954780"/>
          <a:chExt cx="2423160" cy="708660"/>
        </a:xfrm>
      </xdr:grpSpPr>
      <xdr:sp macro="" textlink="">
        <xdr:nvSpPr>
          <xdr:cNvPr id="12" name="Rectangle: Rounded Corners 11">
            <a:extLst>
              <a:ext uri="{FF2B5EF4-FFF2-40B4-BE49-F238E27FC236}">
                <a16:creationId xmlns:a16="http://schemas.microsoft.com/office/drawing/2014/main" id="{8F7A4F56-B318-9044-20BF-D4BBE920E0A3}"/>
              </a:ext>
            </a:extLst>
          </xdr:cNvPr>
          <xdr:cNvSpPr/>
        </xdr:nvSpPr>
        <xdr:spPr>
          <a:xfrm>
            <a:off x="6850380" y="3954780"/>
            <a:ext cx="2423160" cy="708660"/>
          </a:xfrm>
          <a:prstGeom prst="roundRect">
            <a:avLst/>
          </a:prstGeom>
          <a:ln>
            <a:solidFill>
              <a:schemeClr val="accent2">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         </a:t>
            </a:r>
            <a:r>
              <a:rPr lang="en-IN" sz="1400" b="1" cap="none" spc="0" baseline="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  SAVING RATE</a:t>
            </a:r>
          </a:p>
          <a:p>
            <a:pPr algn="ctr"/>
            <a:r>
              <a:rPr lang="en-IN" sz="1400" b="1" cap="none" spc="0" baseline="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          6</a:t>
            </a:r>
          </a:p>
          <a:p>
            <a:pPr algn="ctr"/>
            <a:endParaRPr lang="en-IN" sz="14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3" name="Rectangle: Rounded Corners 12">
            <a:extLst>
              <a:ext uri="{FF2B5EF4-FFF2-40B4-BE49-F238E27FC236}">
                <a16:creationId xmlns:a16="http://schemas.microsoft.com/office/drawing/2014/main" id="{79D7E2CD-A340-6203-F8EB-C711F9DC88A4}"/>
              </a:ext>
            </a:extLst>
          </xdr:cNvPr>
          <xdr:cNvSpPr/>
        </xdr:nvSpPr>
        <xdr:spPr>
          <a:xfrm>
            <a:off x="6858273" y="3962400"/>
            <a:ext cx="599870" cy="701040"/>
          </a:xfrm>
          <a:prstGeom prst="roundRect">
            <a:avLst/>
          </a:prstGeom>
          <a:solidFill>
            <a:schemeClr val="accent2">
              <a:lumMod val="40000"/>
              <a:lumOff val="60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8</xdr:col>
      <xdr:colOff>281940</xdr:colOff>
      <xdr:row>2</xdr:row>
      <xdr:rowOff>160020</xdr:rowOff>
    </xdr:from>
    <xdr:to>
      <xdr:col>12</xdr:col>
      <xdr:colOff>266700</xdr:colOff>
      <xdr:row>6</xdr:row>
      <xdr:rowOff>137160</xdr:rowOff>
    </xdr:to>
    <xdr:grpSp>
      <xdr:nvGrpSpPr>
        <xdr:cNvPr id="15" name="Group 14">
          <a:extLst>
            <a:ext uri="{FF2B5EF4-FFF2-40B4-BE49-F238E27FC236}">
              <a16:creationId xmlns:a16="http://schemas.microsoft.com/office/drawing/2014/main" id="{EDFA5768-A552-4739-9491-2097D385765F}"/>
            </a:ext>
          </a:extLst>
        </xdr:cNvPr>
        <xdr:cNvGrpSpPr/>
      </xdr:nvGrpSpPr>
      <xdr:grpSpPr>
        <a:xfrm>
          <a:off x="5158740" y="617220"/>
          <a:ext cx="2662646" cy="717369"/>
          <a:chOff x="7322820" y="3794760"/>
          <a:chExt cx="2423160" cy="708660"/>
        </a:xfrm>
      </xdr:grpSpPr>
      <xdr:sp macro="" textlink="">
        <xdr:nvSpPr>
          <xdr:cNvPr id="16" name="Rectangle: Rounded Corners 15">
            <a:extLst>
              <a:ext uri="{FF2B5EF4-FFF2-40B4-BE49-F238E27FC236}">
                <a16:creationId xmlns:a16="http://schemas.microsoft.com/office/drawing/2014/main" id="{0B7E959B-7157-551C-266D-4AC115124477}"/>
              </a:ext>
            </a:extLst>
          </xdr:cNvPr>
          <xdr:cNvSpPr/>
        </xdr:nvSpPr>
        <xdr:spPr>
          <a:xfrm>
            <a:off x="7322820" y="3794760"/>
            <a:ext cx="2423160" cy="708660"/>
          </a:xfrm>
          <a:prstGeom prst="roundRect">
            <a:avLst/>
          </a:prstGeom>
          <a:ln>
            <a:solidFill>
              <a:srgbClr val="0070C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4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         </a:t>
            </a:r>
            <a:r>
              <a:rPr lang="en-IN" sz="1400" b="1" cap="none" spc="0" baseline="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  NET SAVING</a:t>
            </a:r>
          </a:p>
          <a:p>
            <a:pPr algn="ctr"/>
            <a:r>
              <a:rPr lang="en-IN" sz="1400" b="1" cap="none" spc="0" baseline="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t>          25</a:t>
            </a:r>
          </a:p>
          <a:p>
            <a:pPr algn="ctr"/>
            <a:endParaRPr lang="en-IN" sz="1400" b="1"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7" name="Rectangle: Rounded Corners 16">
            <a:extLst>
              <a:ext uri="{FF2B5EF4-FFF2-40B4-BE49-F238E27FC236}">
                <a16:creationId xmlns:a16="http://schemas.microsoft.com/office/drawing/2014/main" id="{F82DD82E-5CA3-E2B8-EB7F-6256D469E915}"/>
              </a:ext>
            </a:extLst>
          </xdr:cNvPr>
          <xdr:cNvSpPr/>
        </xdr:nvSpPr>
        <xdr:spPr>
          <a:xfrm>
            <a:off x="7330713" y="3802380"/>
            <a:ext cx="599870" cy="701040"/>
          </a:xfrm>
          <a:prstGeom prst="roundRect">
            <a:avLst/>
          </a:prstGeom>
          <a:solidFill>
            <a:srgbClr val="CCECFF"/>
          </a:solidFill>
          <a:ln>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8" name="Graphic 17" descr="Clock with solid fill">
            <a:extLst>
              <a:ext uri="{FF2B5EF4-FFF2-40B4-BE49-F238E27FC236}">
                <a16:creationId xmlns:a16="http://schemas.microsoft.com/office/drawing/2014/main" id="{CA17BB3A-0063-E9E1-C06F-933254D1419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04240" y="3929520"/>
            <a:ext cx="468000" cy="468000"/>
          </a:xfrm>
          <a:prstGeom prst="rect">
            <a:avLst/>
          </a:prstGeom>
        </xdr:spPr>
      </xdr:pic>
    </xdr:grpSp>
    <xdr:clientData/>
  </xdr:twoCellAnchor>
  <xdr:twoCellAnchor>
    <xdr:from>
      <xdr:col>0</xdr:col>
      <xdr:colOff>91440</xdr:colOff>
      <xdr:row>7</xdr:row>
      <xdr:rowOff>91439</xdr:rowOff>
    </xdr:from>
    <xdr:to>
      <xdr:col>8</xdr:col>
      <xdr:colOff>293914</xdr:colOff>
      <xdr:row>22</xdr:row>
      <xdr:rowOff>54427</xdr:rowOff>
    </xdr:to>
    <xdr:sp macro="" textlink="">
      <xdr:nvSpPr>
        <xdr:cNvPr id="19" name="Rectangle: Rounded Corners 18">
          <a:extLst>
            <a:ext uri="{FF2B5EF4-FFF2-40B4-BE49-F238E27FC236}">
              <a16:creationId xmlns:a16="http://schemas.microsoft.com/office/drawing/2014/main" id="{981A59BF-AF37-472E-8B01-4D4F9D6B9B1B}"/>
            </a:ext>
          </a:extLst>
        </xdr:cNvPr>
        <xdr:cNvSpPr/>
      </xdr:nvSpPr>
      <xdr:spPr>
        <a:xfrm>
          <a:off x="91440" y="1473925"/>
          <a:ext cx="5079274" cy="2738845"/>
        </a:xfrm>
        <a:prstGeom prst="roundRect">
          <a:avLst/>
        </a:prstGeom>
        <a:solidFill>
          <a:schemeClr val="bg1"/>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EXPENSES</a:t>
          </a:r>
          <a:r>
            <a:rPr lang="en-IN" sz="15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BY CATEGORY</a:t>
          </a:r>
        </a:p>
        <a:p>
          <a:pPr algn="ctr"/>
          <a:endParaRPr lang="en-IN" sz="15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426720</xdr:colOff>
      <xdr:row>7</xdr:row>
      <xdr:rowOff>99059</xdr:rowOff>
    </xdr:from>
    <xdr:to>
      <xdr:col>16</xdr:col>
      <xdr:colOff>446314</xdr:colOff>
      <xdr:row>22</xdr:row>
      <xdr:rowOff>54427</xdr:rowOff>
    </xdr:to>
    <xdr:sp macro="" textlink="">
      <xdr:nvSpPr>
        <xdr:cNvPr id="20" name="Rectangle: Rounded Corners 19">
          <a:extLst>
            <a:ext uri="{FF2B5EF4-FFF2-40B4-BE49-F238E27FC236}">
              <a16:creationId xmlns:a16="http://schemas.microsoft.com/office/drawing/2014/main" id="{6686BD25-5346-4F9C-AF36-67E29DD46AE2}"/>
            </a:ext>
          </a:extLst>
        </xdr:cNvPr>
        <xdr:cNvSpPr/>
      </xdr:nvSpPr>
      <xdr:spPr>
        <a:xfrm>
          <a:off x="5303520" y="1481545"/>
          <a:ext cx="5135880" cy="27312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a:solidFill>
                <a:sysClr val="windowText" lastClr="000000"/>
              </a:solidFill>
              <a:effectLst/>
              <a:latin typeface="Calibri" panose="020F0502020204030204" pitchFamily="34" charset="0"/>
              <a:ea typeface="Calibri" panose="020F0502020204030204" pitchFamily="34" charset="0"/>
              <a:cs typeface="Calibri" panose="020F0502020204030204" pitchFamily="34" charset="0"/>
            </a:rPr>
            <a:t>INCOME</a:t>
          </a:r>
          <a:r>
            <a:rPr lang="en-IN" sz="1500" b="1" baseline="0">
              <a:solidFill>
                <a:sysClr val="windowText" lastClr="000000"/>
              </a:solidFill>
              <a:effectLst/>
              <a:latin typeface="Calibri" panose="020F0502020204030204" pitchFamily="34" charset="0"/>
              <a:ea typeface="Calibri" panose="020F0502020204030204" pitchFamily="34" charset="0"/>
              <a:cs typeface="Calibri" panose="020F0502020204030204" pitchFamily="34" charset="0"/>
            </a:rPr>
            <a:t> VS EXPENSE TREND</a:t>
          </a:r>
          <a:endParaRPr lang="en-IN" sz="1500">
            <a:solidFill>
              <a:sysClr val="windowText" lastClr="000000"/>
            </a:solidFill>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411480</xdr:colOff>
      <xdr:row>23</xdr:row>
      <xdr:rowOff>76200</xdr:rowOff>
    </xdr:from>
    <xdr:to>
      <xdr:col>16</xdr:col>
      <xdr:colOff>480060</xdr:colOff>
      <xdr:row>37</xdr:row>
      <xdr:rowOff>53340</xdr:rowOff>
    </xdr:to>
    <xdr:sp macro="" textlink="">
      <xdr:nvSpPr>
        <xdr:cNvPr id="21" name="Rectangle: Rounded Corners 20">
          <a:extLst>
            <a:ext uri="{FF2B5EF4-FFF2-40B4-BE49-F238E27FC236}">
              <a16:creationId xmlns:a16="http://schemas.microsoft.com/office/drawing/2014/main" id="{2DE4103F-E80A-4A35-97C4-5193CF84AD2B}"/>
            </a:ext>
          </a:extLst>
        </xdr:cNvPr>
        <xdr:cNvSpPr/>
      </xdr:nvSpPr>
      <xdr:spPr>
        <a:xfrm>
          <a:off x="5288280" y="4366260"/>
          <a:ext cx="5189220" cy="2537460"/>
        </a:xfrm>
        <a:prstGeom prst="roundRect">
          <a:avLst/>
        </a:prstGeom>
        <a:solidFill>
          <a:schemeClr val="bg1"/>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a:solidFill>
                <a:sysClr val="windowText" lastClr="000000"/>
              </a:solidFill>
              <a:effectLst/>
              <a:latin typeface="Calibri" panose="020F0502020204030204" pitchFamily="34" charset="0"/>
              <a:ea typeface="Calibri" panose="020F0502020204030204" pitchFamily="34" charset="0"/>
              <a:cs typeface="Calibri" panose="020F0502020204030204" pitchFamily="34" charset="0"/>
            </a:rPr>
            <a:t>EXPENSES</a:t>
          </a:r>
          <a:r>
            <a:rPr lang="en-IN" sz="1500" b="1" baseline="0">
              <a:solidFill>
                <a:sysClr val="windowText" lastClr="000000"/>
              </a:solidFill>
              <a:effectLst/>
              <a:latin typeface="Calibri" panose="020F0502020204030204" pitchFamily="34" charset="0"/>
              <a:ea typeface="Calibri" panose="020F0502020204030204" pitchFamily="34" charset="0"/>
              <a:cs typeface="Calibri" panose="020F0502020204030204" pitchFamily="34" charset="0"/>
            </a:rPr>
            <a:t> DISTRIBUTION</a:t>
          </a:r>
        </a:p>
        <a:p>
          <a:pPr algn="ctr"/>
          <a:endParaRPr lang="en-IN" sz="1500">
            <a:solidFill>
              <a:sysClr val="windowText" lastClr="000000"/>
            </a:solidFill>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76200</xdr:colOff>
      <xdr:row>23</xdr:row>
      <xdr:rowOff>38100</xdr:rowOff>
    </xdr:from>
    <xdr:to>
      <xdr:col>8</xdr:col>
      <xdr:colOff>144780</xdr:colOff>
      <xdr:row>37</xdr:row>
      <xdr:rowOff>15240</xdr:rowOff>
    </xdr:to>
    <xdr:sp macro="" textlink="">
      <xdr:nvSpPr>
        <xdr:cNvPr id="22" name="Rectangle: Rounded Corners 21">
          <a:extLst>
            <a:ext uri="{FF2B5EF4-FFF2-40B4-BE49-F238E27FC236}">
              <a16:creationId xmlns:a16="http://schemas.microsoft.com/office/drawing/2014/main" id="{3D8402BF-5385-444A-BCD4-124B8913B23B}"/>
            </a:ext>
          </a:extLst>
        </xdr:cNvPr>
        <xdr:cNvSpPr/>
      </xdr:nvSpPr>
      <xdr:spPr>
        <a:xfrm>
          <a:off x="76200" y="4328160"/>
          <a:ext cx="4945380" cy="2537460"/>
        </a:xfrm>
        <a:prstGeom prst="roundRect">
          <a:avLst/>
        </a:prstGeom>
        <a:solidFill>
          <a:schemeClr val="bg1"/>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MODE</a:t>
          </a:r>
          <a:r>
            <a:rPr lang="en-IN" sz="15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WISE DISTRIBUTION</a:t>
          </a:r>
          <a:endParaRPr lang="en-IN" sz="15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129540</xdr:colOff>
      <xdr:row>0</xdr:row>
      <xdr:rowOff>68580</xdr:rowOff>
    </xdr:from>
    <xdr:to>
      <xdr:col>23</xdr:col>
      <xdr:colOff>152400</xdr:colOff>
      <xdr:row>2</xdr:row>
      <xdr:rowOff>0</xdr:rowOff>
    </xdr:to>
    <xdr:sp macro="" textlink="">
      <xdr:nvSpPr>
        <xdr:cNvPr id="23" name="Rectangle: Rounded Corners 22">
          <a:extLst>
            <a:ext uri="{FF2B5EF4-FFF2-40B4-BE49-F238E27FC236}">
              <a16:creationId xmlns:a16="http://schemas.microsoft.com/office/drawing/2014/main" id="{EAB88AEB-3615-4323-871E-FD7436744954}"/>
            </a:ext>
          </a:extLst>
        </xdr:cNvPr>
        <xdr:cNvSpPr/>
      </xdr:nvSpPr>
      <xdr:spPr>
        <a:xfrm>
          <a:off x="10736580" y="68580"/>
          <a:ext cx="3680460" cy="381000"/>
        </a:xfrm>
        <a:prstGeom prst="round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latin typeface="Calibri" panose="020F0502020204030204" pitchFamily="34" charset="0"/>
              <a:ea typeface="Calibri" panose="020F0502020204030204" pitchFamily="34" charset="0"/>
              <a:cs typeface="Calibri" panose="020F0502020204030204" pitchFamily="34" charset="0"/>
            </a:rPr>
            <a:t>FILTERS AND SLICERS</a:t>
          </a:r>
        </a:p>
      </xdr:txBody>
    </xdr:sp>
    <xdr:clientData/>
  </xdr:twoCellAnchor>
  <xdr:twoCellAnchor>
    <xdr:from>
      <xdr:col>8</xdr:col>
      <xdr:colOff>723900</xdr:colOff>
      <xdr:row>9</xdr:row>
      <xdr:rowOff>60960</xdr:rowOff>
    </xdr:from>
    <xdr:to>
      <xdr:col>16</xdr:col>
      <xdr:colOff>121920</xdr:colOff>
      <xdr:row>21</xdr:row>
      <xdr:rowOff>0</xdr:rowOff>
    </xdr:to>
    <xdr:graphicFrame macro="">
      <xdr:nvGraphicFramePr>
        <xdr:cNvPr id="24" name="Chart 23">
          <a:extLst>
            <a:ext uri="{FF2B5EF4-FFF2-40B4-BE49-F238E27FC236}">
              <a16:creationId xmlns:a16="http://schemas.microsoft.com/office/drawing/2014/main" id="{BD4158DC-69D6-4219-8510-B4DB03DC4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647700</xdr:colOff>
      <xdr:row>25</xdr:row>
      <xdr:rowOff>115389</xdr:rowOff>
    </xdr:from>
    <xdr:to>
      <xdr:col>16</xdr:col>
      <xdr:colOff>76200</xdr:colOff>
      <xdr:row>38</xdr:row>
      <xdr:rowOff>176349</xdr:rowOff>
    </xdr:to>
    <xdr:graphicFrame macro="">
      <xdr:nvGraphicFramePr>
        <xdr:cNvPr id="27" name="Chart 26">
          <a:extLst>
            <a:ext uri="{FF2B5EF4-FFF2-40B4-BE49-F238E27FC236}">
              <a16:creationId xmlns:a16="http://schemas.microsoft.com/office/drawing/2014/main" id="{0B7C0DE7-E33C-41B3-BC48-074EB1914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265611</xdr:colOff>
      <xdr:row>9</xdr:row>
      <xdr:rowOff>105592</xdr:rowOff>
    </xdr:from>
    <xdr:to>
      <xdr:col>7</xdr:col>
      <xdr:colOff>457200</xdr:colOff>
      <xdr:row>21</xdr:row>
      <xdr:rowOff>174171</xdr:rowOff>
    </xdr:to>
    <xdr:graphicFrame macro="">
      <xdr:nvGraphicFramePr>
        <xdr:cNvPr id="33" name="Chart 32">
          <a:extLst>
            <a:ext uri="{FF2B5EF4-FFF2-40B4-BE49-F238E27FC236}">
              <a16:creationId xmlns:a16="http://schemas.microsoft.com/office/drawing/2014/main" id="{2CF846A1-3DF7-420A-92BE-BDDD6C995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805544</xdr:colOff>
      <xdr:row>9</xdr:row>
      <xdr:rowOff>141516</xdr:rowOff>
    </xdr:from>
    <xdr:to>
      <xdr:col>16</xdr:col>
      <xdr:colOff>108858</xdr:colOff>
      <xdr:row>21</xdr:row>
      <xdr:rowOff>163286</xdr:rowOff>
    </xdr:to>
    <xdr:graphicFrame macro="">
      <xdr:nvGraphicFramePr>
        <xdr:cNvPr id="34" name="Chart 33">
          <a:extLst>
            <a:ext uri="{FF2B5EF4-FFF2-40B4-BE49-F238E27FC236}">
              <a16:creationId xmlns:a16="http://schemas.microsoft.com/office/drawing/2014/main" id="{7EED4789-5F3D-4F1B-B4CF-29E96FB65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816429</xdr:colOff>
      <xdr:row>24</xdr:row>
      <xdr:rowOff>163286</xdr:rowOff>
    </xdr:from>
    <xdr:to>
      <xdr:col>15</xdr:col>
      <xdr:colOff>511627</xdr:colOff>
      <xdr:row>37</xdr:row>
      <xdr:rowOff>1</xdr:rowOff>
    </xdr:to>
    <xdr:graphicFrame macro="">
      <xdr:nvGraphicFramePr>
        <xdr:cNvPr id="35" name="Chart 34">
          <a:extLst>
            <a:ext uri="{FF2B5EF4-FFF2-40B4-BE49-F238E27FC236}">
              <a16:creationId xmlns:a16="http://schemas.microsoft.com/office/drawing/2014/main" id="{4A9ADAC0-2F3F-446B-9C2E-219247BCB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359229</xdr:colOff>
      <xdr:row>25</xdr:row>
      <xdr:rowOff>43544</xdr:rowOff>
    </xdr:from>
    <xdr:to>
      <xdr:col>7</xdr:col>
      <xdr:colOff>228599</xdr:colOff>
      <xdr:row>38</xdr:row>
      <xdr:rowOff>97972</xdr:rowOff>
    </xdr:to>
    <xdr:graphicFrame macro="">
      <xdr:nvGraphicFramePr>
        <xdr:cNvPr id="36" name="Chart 35">
          <a:extLst>
            <a:ext uri="{FF2B5EF4-FFF2-40B4-BE49-F238E27FC236}">
              <a16:creationId xmlns:a16="http://schemas.microsoft.com/office/drawing/2014/main" id="{C55315B4-C630-4D4A-9803-2698EF001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17</xdr:col>
      <xdr:colOff>141515</xdr:colOff>
      <xdr:row>10</xdr:row>
      <xdr:rowOff>58781</xdr:rowOff>
    </xdr:from>
    <xdr:to>
      <xdr:col>20</xdr:col>
      <xdr:colOff>141515</xdr:colOff>
      <xdr:row>21</xdr:row>
      <xdr:rowOff>76199</xdr:rowOff>
    </xdr:to>
    <mc:AlternateContent xmlns:mc="http://schemas.openxmlformats.org/markup-compatibility/2006">
      <mc:Choice xmlns:a14="http://schemas.microsoft.com/office/drawing/2010/main" Requires="a14">
        <xdr:graphicFrame macro="">
          <xdr:nvGraphicFramePr>
            <xdr:cNvPr id="37" name="Month">
              <a:extLst>
                <a:ext uri="{FF2B5EF4-FFF2-40B4-BE49-F238E27FC236}">
                  <a16:creationId xmlns:a16="http://schemas.microsoft.com/office/drawing/2014/main" id="{E23172DC-53B8-451C-87BD-FB7D5996384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0744201" y="1996438"/>
              <a:ext cx="1828800" cy="2053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217714</xdr:colOff>
      <xdr:row>10</xdr:row>
      <xdr:rowOff>65313</xdr:rowOff>
    </xdr:from>
    <xdr:to>
      <xdr:col>23</xdr:col>
      <xdr:colOff>217714</xdr:colOff>
      <xdr:row>21</xdr:row>
      <xdr:rowOff>65313</xdr:rowOff>
    </xdr:to>
    <mc:AlternateContent xmlns:mc="http://schemas.openxmlformats.org/markup-compatibility/2006">
      <mc:Choice xmlns:a14="http://schemas.microsoft.com/office/drawing/2010/main" Requires="a14">
        <xdr:graphicFrame macro="">
          <xdr:nvGraphicFramePr>
            <xdr:cNvPr id="38" name="Expense Type">
              <a:extLst>
                <a:ext uri="{FF2B5EF4-FFF2-40B4-BE49-F238E27FC236}">
                  <a16:creationId xmlns:a16="http://schemas.microsoft.com/office/drawing/2014/main" id="{64E8E9FA-CE24-4668-808B-486F0A4D7D20}"/>
                </a:ext>
              </a:extLst>
            </xdr:cNvPr>
            <xdr:cNvGraphicFramePr/>
          </xdr:nvGraphicFramePr>
          <xdr:xfrm>
            <a:off x="0" y="0"/>
            <a:ext cx="0" cy="0"/>
          </xdr:xfrm>
          <a:graphic>
            <a:graphicData uri="http://schemas.microsoft.com/office/drawing/2010/slicer">
              <sle:slicer xmlns:sle="http://schemas.microsoft.com/office/drawing/2010/slicer" name="Expense Type"/>
            </a:graphicData>
          </a:graphic>
        </xdr:graphicFrame>
      </mc:Choice>
      <mc:Fallback>
        <xdr:sp macro="" textlink="">
          <xdr:nvSpPr>
            <xdr:cNvPr id="0" name=""/>
            <xdr:cNvSpPr>
              <a:spLocks noTextEdit="1"/>
            </xdr:cNvSpPr>
          </xdr:nvSpPr>
          <xdr:spPr>
            <a:xfrm>
              <a:off x="12649200" y="2002970"/>
              <a:ext cx="1828800" cy="2035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163286</xdr:colOff>
      <xdr:row>22</xdr:row>
      <xdr:rowOff>119741</xdr:rowOff>
    </xdr:from>
    <xdr:to>
      <xdr:col>20</xdr:col>
      <xdr:colOff>163286</xdr:colOff>
      <xdr:row>35</xdr:row>
      <xdr:rowOff>76199</xdr:rowOff>
    </xdr:to>
    <mc:AlternateContent xmlns:mc="http://schemas.openxmlformats.org/markup-compatibility/2006">
      <mc:Choice xmlns:a14="http://schemas.microsoft.com/office/drawing/2010/main" Requires="a14">
        <xdr:graphicFrame macro="">
          <xdr:nvGraphicFramePr>
            <xdr:cNvPr id="39" name="Payment Mode">
              <a:extLst>
                <a:ext uri="{FF2B5EF4-FFF2-40B4-BE49-F238E27FC236}">
                  <a16:creationId xmlns:a16="http://schemas.microsoft.com/office/drawing/2014/main" id="{66519D5E-DB02-450A-8FBD-60E08E95E6F3}"/>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10765972" y="4278084"/>
              <a:ext cx="1828800" cy="2362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250372</xdr:colOff>
      <xdr:row>22</xdr:row>
      <xdr:rowOff>119743</xdr:rowOff>
    </xdr:from>
    <xdr:to>
      <xdr:col>23</xdr:col>
      <xdr:colOff>250372</xdr:colOff>
      <xdr:row>35</xdr:row>
      <xdr:rowOff>65314</xdr:rowOff>
    </xdr:to>
    <mc:AlternateContent xmlns:mc="http://schemas.openxmlformats.org/markup-compatibility/2006">
      <mc:Choice xmlns:a14="http://schemas.microsoft.com/office/drawing/2010/main" Requires="a14">
        <xdr:graphicFrame macro="">
          <xdr:nvGraphicFramePr>
            <xdr:cNvPr id="40" name="Indicator">
              <a:extLst>
                <a:ext uri="{FF2B5EF4-FFF2-40B4-BE49-F238E27FC236}">
                  <a16:creationId xmlns:a16="http://schemas.microsoft.com/office/drawing/2014/main" id="{134A0571-5FE3-481D-8B8A-53FF46B423D3}"/>
                </a:ext>
              </a:extLst>
            </xdr:cNvPr>
            <xdr:cNvGraphicFramePr/>
          </xdr:nvGraphicFramePr>
          <xdr:xfrm>
            <a:off x="0" y="0"/>
            <a:ext cx="0" cy="0"/>
          </xdr:xfrm>
          <a:graphic>
            <a:graphicData uri="http://schemas.microsoft.com/office/drawing/2010/slicer">
              <sle:slicer xmlns:sle="http://schemas.microsoft.com/office/drawing/2010/slicer" name="Indicator"/>
            </a:graphicData>
          </a:graphic>
        </xdr:graphicFrame>
      </mc:Choice>
      <mc:Fallback>
        <xdr:sp macro="" textlink="">
          <xdr:nvSpPr>
            <xdr:cNvPr id="0" name=""/>
            <xdr:cNvSpPr>
              <a:spLocks noTextEdit="1"/>
            </xdr:cNvSpPr>
          </xdr:nvSpPr>
          <xdr:spPr>
            <a:xfrm>
              <a:off x="12681858" y="4278086"/>
              <a:ext cx="1828800" cy="2351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152400</xdr:colOff>
      <xdr:row>2</xdr:row>
      <xdr:rowOff>54429</xdr:rowOff>
    </xdr:from>
    <xdr:to>
      <xdr:col>23</xdr:col>
      <xdr:colOff>152400</xdr:colOff>
      <xdr:row>9</xdr:row>
      <xdr:rowOff>130629</xdr:rowOff>
    </xdr:to>
    <mc:AlternateContent xmlns:mc="http://schemas.openxmlformats.org/markup-compatibility/2006">
      <mc:Choice xmlns:tsle="http://schemas.microsoft.com/office/drawing/2012/timeslicer" Requires="tsle">
        <xdr:graphicFrame macro="">
          <xdr:nvGraphicFramePr>
            <xdr:cNvPr id="41" name="Date">
              <a:extLst>
                <a:ext uri="{FF2B5EF4-FFF2-40B4-BE49-F238E27FC236}">
                  <a16:creationId xmlns:a16="http://schemas.microsoft.com/office/drawing/2014/main" id="{17DFB37D-4B43-492D-B3BA-4E47FAAC24B6}"/>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0755086" y="511629"/>
              <a:ext cx="36576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489857</xdr:colOff>
      <xdr:row>3</xdr:row>
      <xdr:rowOff>65316</xdr:rowOff>
    </xdr:from>
    <xdr:to>
      <xdr:col>13</xdr:col>
      <xdr:colOff>446315</xdr:colOff>
      <xdr:row>6</xdr:row>
      <xdr:rowOff>76202</xdr:rowOff>
    </xdr:to>
    <xdr:pic>
      <xdr:nvPicPr>
        <xdr:cNvPr id="43" name="Graphic 42" descr="Piggy Bank with solid fill">
          <a:extLst>
            <a:ext uri="{FF2B5EF4-FFF2-40B4-BE49-F238E27FC236}">
              <a16:creationId xmlns:a16="http://schemas.microsoft.com/office/drawing/2014/main" id="{2CCB2D19-7D8D-19C5-F186-914FD823383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044543" y="707573"/>
          <a:ext cx="566058" cy="56605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gaesh S" refreshedDate="46126.994853356482" missingItemsLimit="0" createdVersion="8" refreshedVersion="8" minRefreshableVersion="3" recordCount="100" xr:uid="{6EE80C53-2980-43D6-9BAE-8307FE9C8BCC}">
  <cacheSource type="worksheet">
    <worksheetSource name="Table1"/>
  </cacheSource>
  <cacheFields count="12">
    <cacheField name="Date" numFmtId="14">
      <sharedItems containsSemiMixedTypes="0" containsNonDate="0" containsDate="1" containsString="0" minDate="2026-01-01T00:00:00" maxDate="2026-04-11T00:00:00" count="1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sharedItems>
    </cacheField>
    <cacheField name="Month" numFmtId="0">
      <sharedItems count="4">
        <s v="Jan"/>
        <s v="Feb"/>
        <s v="Mar"/>
        <s v="Apr"/>
      </sharedItems>
    </cacheField>
    <cacheField name="Income Source" numFmtId="0">
      <sharedItems containsBlank="1"/>
    </cacheField>
    <cacheField name="Expense Category" numFmtId="0">
      <sharedItems containsBlank="1" count="8">
        <m/>
        <s v="Rent"/>
        <s v="Food"/>
        <s v="Travel"/>
        <s v="Shopping"/>
        <s v="EMI"/>
        <s v="Entertainment"/>
        <s v=""/>
      </sharedItems>
    </cacheField>
    <cacheField name="Expense Type" numFmtId="0">
      <sharedItems count="3">
        <s v=""/>
        <s v="Fixed"/>
        <s v="Variable"/>
      </sharedItems>
    </cacheField>
    <cacheField name="Payment Mode" numFmtId="0">
      <sharedItems count="4">
        <s v="Bank Transfer"/>
        <s v="UPI"/>
        <s v="Cash"/>
        <s v="Credit Card"/>
      </sharedItems>
    </cacheField>
    <cacheField name="Amount" numFmtId="0">
      <sharedItems containsSemiMixedTypes="0" containsString="0" containsNumber="1" containsInteger="1" minValue="115" maxValue="56008"/>
    </cacheField>
    <cacheField name="Indicator" numFmtId="0">
      <sharedItems count="2">
        <s v="Income"/>
        <s v="Expense"/>
      </sharedItems>
    </cacheField>
    <cacheField name="Savings" numFmtId="0">
      <sharedItems containsNonDate="0" containsString="0" containsBlank="1"/>
    </cacheField>
    <cacheField name="Budget Allocated" numFmtId="0">
      <sharedItems containsSemiMixedTypes="0" containsString="0" containsNumber="1" containsInteger="1" minValue="0" maxValue="15000"/>
    </cacheField>
    <cacheField name="Budget Remaining" numFmtId="0">
      <sharedItems containsSemiMixedTypes="0" containsString="0" containsNumber="1" containsInteger="1" minValue="-5991" maxValue="4885"/>
    </cacheField>
    <cacheField name="Notes" numFmtId="0">
      <sharedItems/>
    </cacheField>
  </cacheFields>
  <extLst>
    <ext xmlns:x14="http://schemas.microsoft.com/office/spreadsheetml/2009/9/main" uri="{725AE2AE-9491-48be-B2B4-4EB974FC3084}">
      <x14:pivotCacheDefinition pivotCacheId="18485338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Salary"/>
    <x v="0"/>
    <x v="0"/>
    <x v="0"/>
    <n v="50000"/>
    <x v="0"/>
    <m/>
    <n v="0"/>
    <n v="0"/>
    <s v="Monthly Salary"/>
  </r>
  <r>
    <x v="1"/>
    <x v="0"/>
    <m/>
    <x v="1"/>
    <x v="1"/>
    <x v="0"/>
    <n v="15000"/>
    <x v="1"/>
    <m/>
    <n v="15000"/>
    <n v="0"/>
    <s v="House Rent"/>
  </r>
  <r>
    <x v="2"/>
    <x v="0"/>
    <m/>
    <x v="2"/>
    <x v="2"/>
    <x v="1"/>
    <n v="500"/>
    <x v="1"/>
    <m/>
    <n v="5000"/>
    <n v="4500"/>
    <s v="Groceries"/>
  </r>
  <r>
    <x v="3"/>
    <x v="0"/>
    <s v="Freelance"/>
    <x v="0"/>
    <x v="0"/>
    <x v="1"/>
    <n v="8000"/>
    <x v="0"/>
    <m/>
    <n v="0"/>
    <n v="0"/>
    <s v="Side Income"/>
  </r>
  <r>
    <x v="4"/>
    <x v="0"/>
    <m/>
    <x v="3"/>
    <x v="2"/>
    <x v="2"/>
    <n v="300"/>
    <x v="1"/>
    <m/>
    <n v="2000"/>
    <n v="1700"/>
    <s v="Auto"/>
  </r>
  <r>
    <x v="5"/>
    <x v="0"/>
    <m/>
    <x v="4"/>
    <x v="2"/>
    <x v="3"/>
    <n v="2000"/>
    <x v="1"/>
    <m/>
    <n v="5000"/>
    <n v="3000"/>
    <s v="Clothes"/>
  </r>
  <r>
    <x v="6"/>
    <x v="0"/>
    <m/>
    <x v="5"/>
    <x v="1"/>
    <x v="0"/>
    <n v="8000"/>
    <x v="1"/>
    <m/>
    <n v="8000"/>
    <n v="0"/>
    <s v="Loan"/>
  </r>
  <r>
    <x v="7"/>
    <x v="0"/>
    <s v="Business"/>
    <x v="0"/>
    <x v="0"/>
    <x v="0"/>
    <n v="12000"/>
    <x v="0"/>
    <m/>
    <n v="0"/>
    <n v="0"/>
    <s v="Profit"/>
  </r>
  <r>
    <x v="8"/>
    <x v="0"/>
    <m/>
    <x v="2"/>
    <x v="2"/>
    <x v="1"/>
    <n v="700"/>
    <x v="1"/>
    <m/>
    <n v="5000"/>
    <n v="3800"/>
    <s v="Dinner"/>
  </r>
  <r>
    <x v="9"/>
    <x v="0"/>
    <m/>
    <x v="6"/>
    <x v="2"/>
    <x v="1"/>
    <n v="400"/>
    <x v="1"/>
    <m/>
    <n v="2000"/>
    <n v="1600"/>
    <s v="Movie"/>
  </r>
  <r>
    <x v="10"/>
    <x v="0"/>
    <s v=""/>
    <x v="2"/>
    <x v="2"/>
    <x v="2"/>
    <n v="919"/>
    <x v="1"/>
    <m/>
    <n v="5000"/>
    <n v="4081"/>
    <s v="Groceries/Dining"/>
  </r>
  <r>
    <x v="11"/>
    <x v="0"/>
    <s v=""/>
    <x v="4"/>
    <x v="2"/>
    <x v="3"/>
    <n v="2856"/>
    <x v="1"/>
    <m/>
    <n v="5000"/>
    <n v="2144"/>
    <s v="Personal Shopping"/>
  </r>
  <r>
    <x v="12"/>
    <x v="0"/>
    <s v="Salary"/>
    <x v="7"/>
    <x v="0"/>
    <x v="0"/>
    <n v="51668"/>
    <x v="0"/>
    <m/>
    <n v="0"/>
    <n v="0"/>
    <s v="Monthly Salary"/>
  </r>
  <r>
    <x v="13"/>
    <x v="0"/>
    <s v=""/>
    <x v="1"/>
    <x v="1"/>
    <x v="0"/>
    <n v="10599"/>
    <x v="1"/>
    <m/>
    <n v="15000"/>
    <n v="4401"/>
    <s v="House Rent"/>
  </r>
  <r>
    <x v="14"/>
    <x v="0"/>
    <s v=""/>
    <x v="4"/>
    <x v="2"/>
    <x v="3"/>
    <n v="1513"/>
    <x v="1"/>
    <m/>
    <n v="5000"/>
    <n v="3487"/>
    <s v="Personal Shopping"/>
  </r>
  <r>
    <x v="15"/>
    <x v="0"/>
    <s v=""/>
    <x v="6"/>
    <x v="2"/>
    <x v="1"/>
    <n v="1018"/>
    <x v="1"/>
    <m/>
    <n v="2000"/>
    <n v="982"/>
    <s v="Leisure"/>
  </r>
  <r>
    <x v="16"/>
    <x v="0"/>
    <s v="Freelance"/>
    <x v="7"/>
    <x v="0"/>
    <x v="0"/>
    <n v="4193"/>
    <x v="0"/>
    <m/>
    <n v="0"/>
    <n v="0"/>
    <s v="Freelance Payment"/>
  </r>
  <r>
    <x v="17"/>
    <x v="0"/>
    <s v=""/>
    <x v="2"/>
    <x v="2"/>
    <x v="1"/>
    <n v="276"/>
    <x v="1"/>
    <m/>
    <n v="5000"/>
    <n v="4724"/>
    <s v="Groceries/Dining"/>
  </r>
  <r>
    <x v="18"/>
    <x v="0"/>
    <s v=""/>
    <x v="3"/>
    <x v="2"/>
    <x v="1"/>
    <n v="564"/>
    <x v="1"/>
    <m/>
    <n v="2000"/>
    <n v="1436"/>
    <s v="Transport/Fuel"/>
  </r>
  <r>
    <x v="19"/>
    <x v="0"/>
    <s v=""/>
    <x v="3"/>
    <x v="2"/>
    <x v="2"/>
    <n v="339"/>
    <x v="1"/>
    <m/>
    <n v="2000"/>
    <n v="1661"/>
    <s v="Transport/Fuel"/>
  </r>
  <r>
    <x v="20"/>
    <x v="0"/>
    <s v="Salary"/>
    <x v="7"/>
    <x v="0"/>
    <x v="0"/>
    <n v="56008"/>
    <x v="0"/>
    <m/>
    <n v="0"/>
    <n v="0"/>
    <s v="Monthly Salary"/>
  </r>
  <r>
    <x v="21"/>
    <x v="0"/>
    <s v=""/>
    <x v="3"/>
    <x v="2"/>
    <x v="1"/>
    <n v="509"/>
    <x v="1"/>
    <m/>
    <n v="2000"/>
    <n v="1491"/>
    <s v="Transport/Fuel"/>
  </r>
  <r>
    <x v="22"/>
    <x v="0"/>
    <s v=""/>
    <x v="5"/>
    <x v="1"/>
    <x v="0"/>
    <n v="13991"/>
    <x v="1"/>
    <m/>
    <n v="8000"/>
    <n v="-5991"/>
    <s v="Loan Repayment"/>
  </r>
  <r>
    <x v="23"/>
    <x v="0"/>
    <s v=""/>
    <x v="3"/>
    <x v="2"/>
    <x v="1"/>
    <n v="376"/>
    <x v="1"/>
    <m/>
    <n v="2000"/>
    <n v="1624"/>
    <s v="Transport/Fuel"/>
  </r>
  <r>
    <x v="24"/>
    <x v="0"/>
    <s v="Business"/>
    <x v="7"/>
    <x v="0"/>
    <x v="0"/>
    <n v="11380"/>
    <x v="0"/>
    <m/>
    <n v="0"/>
    <n v="0"/>
    <s v="Business Profit"/>
  </r>
  <r>
    <x v="25"/>
    <x v="0"/>
    <s v=""/>
    <x v="2"/>
    <x v="2"/>
    <x v="1"/>
    <n v="731"/>
    <x v="1"/>
    <m/>
    <n v="5000"/>
    <n v="4269"/>
    <s v="Groceries/Dining"/>
  </r>
  <r>
    <x v="26"/>
    <x v="0"/>
    <s v=""/>
    <x v="3"/>
    <x v="2"/>
    <x v="1"/>
    <n v="650"/>
    <x v="1"/>
    <m/>
    <n v="2000"/>
    <n v="1350"/>
    <s v="Transport/Fuel"/>
  </r>
  <r>
    <x v="27"/>
    <x v="0"/>
    <s v=""/>
    <x v="1"/>
    <x v="1"/>
    <x v="0"/>
    <n v="18323"/>
    <x v="1"/>
    <m/>
    <n v="15000"/>
    <n v="-3323"/>
    <s v="House Rent"/>
  </r>
  <r>
    <x v="28"/>
    <x v="0"/>
    <s v="Bonus"/>
    <x v="7"/>
    <x v="0"/>
    <x v="0"/>
    <n v="7360"/>
    <x v="0"/>
    <m/>
    <n v="0"/>
    <n v="0"/>
    <s v="Performance Bonus"/>
  </r>
  <r>
    <x v="29"/>
    <x v="0"/>
    <s v=""/>
    <x v="1"/>
    <x v="1"/>
    <x v="0"/>
    <n v="18696"/>
    <x v="1"/>
    <m/>
    <n v="15000"/>
    <n v="-3696"/>
    <s v="House Rent"/>
  </r>
  <r>
    <x v="30"/>
    <x v="0"/>
    <s v=""/>
    <x v="1"/>
    <x v="1"/>
    <x v="0"/>
    <n v="16355"/>
    <x v="1"/>
    <m/>
    <n v="15000"/>
    <n v="-1355"/>
    <s v="House Rent"/>
  </r>
  <r>
    <x v="31"/>
    <x v="1"/>
    <s v=""/>
    <x v="1"/>
    <x v="1"/>
    <x v="0"/>
    <n v="19271"/>
    <x v="1"/>
    <m/>
    <n v="15000"/>
    <n v="-4271"/>
    <s v="House Rent"/>
  </r>
  <r>
    <x v="32"/>
    <x v="1"/>
    <s v="Freelance"/>
    <x v="7"/>
    <x v="0"/>
    <x v="0"/>
    <n v="7332"/>
    <x v="0"/>
    <m/>
    <n v="0"/>
    <n v="0"/>
    <s v="Freelance Payment"/>
  </r>
  <r>
    <x v="33"/>
    <x v="1"/>
    <s v=""/>
    <x v="6"/>
    <x v="2"/>
    <x v="1"/>
    <n v="580"/>
    <x v="1"/>
    <m/>
    <n v="2000"/>
    <n v="1420"/>
    <s v="Leisure"/>
  </r>
  <r>
    <x v="34"/>
    <x v="1"/>
    <s v=""/>
    <x v="2"/>
    <x v="2"/>
    <x v="1"/>
    <n v="464"/>
    <x v="1"/>
    <m/>
    <n v="5000"/>
    <n v="4536"/>
    <s v="Groceries/Dining"/>
  </r>
  <r>
    <x v="35"/>
    <x v="1"/>
    <s v=""/>
    <x v="2"/>
    <x v="2"/>
    <x v="2"/>
    <n v="352"/>
    <x v="1"/>
    <m/>
    <n v="5000"/>
    <n v="4648"/>
    <s v="Groceries/Dining"/>
  </r>
  <r>
    <x v="36"/>
    <x v="1"/>
    <s v="Freelance"/>
    <x v="7"/>
    <x v="0"/>
    <x v="0"/>
    <n v="7274"/>
    <x v="0"/>
    <m/>
    <n v="0"/>
    <n v="0"/>
    <s v="Freelance Payment"/>
  </r>
  <r>
    <x v="37"/>
    <x v="1"/>
    <s v=""/>
    <x v="3"/>
    <x v="2"/>
    <x v="1"/>
    <n v="281"/>
    <x v="1"/>
    <m/>
    <n v="2000"/>
    <n v="1719"/>
    <s v="Transport/Fuel"/>
  </r>
  <r>
    <x v="38"/>
    <x v="1"/>
    <s v=""/>
    <x v="2"/>
    <x v="2"/>
    <x v="1"/>
    <n v="202"/>
    <x v="1"/>
    <m/>
    <n v="5000"/>
    <n v="4798"/>
    <s v="Groceries/Dining"/>
  </r>
  <r>
    <x v="39"/>
    <x v="1"/>
    <s v=""/>
    <x v="3"/>
    <x v="2"/>
    <x v="1"/>
    <n v="456"/>
    <x v="1"/>
    <m/>
    <n v="2000"/>
    <n v="1544"/>
    <s v="Transport/Fuel"/>
  </r>
  <r>
    <x v="40"/>
    <x v="1"/>
    <s v="Bonus"/>
    <x v="7"/>
    <x v="0"/>
    <x v="0"/>
    <n v="8236"/>
    <x v="0"/>
    <m/>
    <n v="0"/>
    <n v="0"/>
    <s v="Performance Bonus"/>
  </r>
  <r>
    <x v="41"/>
    <x v="1"/>
    <s v=""/>
    <x v="4"/>
    <x v="2"/>
    <x v="3"/>
    <n v="2559"/>
    <x v="1"/>
    <m/>
    <n v="5000"/>
    <n v="2441"/>
    <s v="Personal Shopping"/>
  </r>
  <r>
    <x v="42"/>
    <x v="1"/>
    <s v=""/>
    <x v="1"/>
    <x v="1"/>
    <x v="0"/>
    <n v="12502"/>
    <x v="1"/>
    <m/>
    <n v="15000"/>
    <n v="2498"/>
    <s v="House Rent"/>
  </r>
  <r>
    <x v="43"/>
    <x v="1"/>
    <s v=""/>
    <x v="1"/>
    <x v="1"/>
    <x v="0"/>
    <n v="15328"/>
    <x v="1"/>
    <m/>
    <n v="15000"/>
    <n v="-328"/>
    <s v="House Rent"/>
  </r>
  <r>
    <x v="44"/>
    <x v="1"/>
    <s v="Freelance"/>
    <x v="7"/>
    <x v="0"/>
    <x v="0"/>
    <n v="11972"/>
    <x v="0"/>
    <m/>
    <n v="0"/>
    <n v="0"/>
    <s v="Freelance Payment"/>
  </r>
  <r>
    <x v="45"/>
    <x v="1"/>
    <s v=""/>
    <x v="1"/>
    <x v="1"/>
    <x v="0"/>
    <n v="15957"/>
    <x v="1"/>
    <m/>
    <n v="15000"/>
    <n v="-957"/>
    <s v="House Rent"/>
  </r>
  <r>
    <x v="46"/>
    <x v="1"/>
    <s v=""/>
    <x v="5"/>
    <x v="1"/>
    <x v="0"/>
    <n v="13876"/>
    <x v="1"/>
    <m/>
    <n v="8000"/>
    <n v="-5876"/>
    <s v="Loan Repayment"/>
  </r>
  <r>
    <x v="47"/>
    <x v="1"/>
    <s v=""/>
    <x v="3"/>
    <x v="2"/>
    <x v="1"/>
    <n v="622"/>
    <x v="1"/>
    <m/>
    <n v="2000"/>
    <n v="1378"/>
    <s v="Transport/Fuel"/>
  </r>
  <r>
    <x v="48"/>
    <x v="1"/>
    <s v="Salary"/>
    <x v="7"/>
    <x v="0"/>
    <x v="0"/>
    <n v="32650"/>
    <x v="0"/>
    <m/>
    <n v="0"/>
    <n v="0"/>
    <s v="Monthly Salary"/>
  </r>
  <r>
    <x v="49"/>
    <x v="1"/>
    <s v=""/>
    <x v="1"/>
    <x v="1"/>
    <x v="0"/>
    <n v="14833"/>
    <x v="1"/>
    <m/>
    <n v="15000"/>
    <n v="167"/>
    <s v="House Rent"/>
  </r>
  <r>
    <x v="50"/>
    <x v="1"/>
    <s v=""/>
    <x v="3"/>
    <x v="2"/>
    <x v="2"/>
    <n v="327"/>
    <x v="1"/>
    <m/>
    <n v="2000"/>
    <n v="1673"/>
    <s v="Transport/Fuel"/>
  </r>
  <r>
    <x v="51"/>
    <x v="1"/>
    <s v=""/>
    <x v="2"/>
    <x v="2"/>
    <x v="1"/>
    <n v="417"/>
    <x v="1"/>
    <m/>
    <n v="5000"/>
    <n v="4583"/>
    <s v="Groceries/Dining"/>
  </r>
  <r>
    <x v="52"/>
    <x v="1"/>
    <s v="Bonus"/>
    <x v="7"/>
    <x v="0"/>
    <x v="0"/>
    <n v="9538"/>
    <x v="0"/>
    <m/>
    <n v="0"/>
    <n v="0"/>
    <s v="Performance Bonus"/>
  </r>
  <r>
    <x v="53"/>
    <x v="1"/>
    <s v=""/>
    <x v="4"/>
    <x v="2"/>
    <x v="3"/>
    <n v="2610"/>
    <x v="1"/>
    <m/>
    <n v="5000"/>
    <n v="2390"/>
    <s v="Personal Shopping"/>
  </r>
  <r>
    <x v="54"/>
    <x v="1"/>
    <s v=""/>
    <x v="3"/>
    <x v="2"/>
    <x v="2"/>
    <n v="461"/>
    <x v="1"/>
    <m/>
    <n v="2000"/>
    <n v="1539"/>
    <s v="Transport/Fuel"/>
  </r>
  <r>
    <x v="55"/>
    <x v="1"/>
    <s v=""/>
    <x v="6"/>
    <x v="2"/>
    <x v="1"/>
    <n v="1299"/>
    <x v="1"/>
    <m/>
    <n v="2000"/>
    <n v="701"/>
    <s v="Leisure"/>
  </r>
  <r>
    <x v="56"/>
    <x v="1"/>
    <s v="Salary"/>
    <x v="7"/>
    <x v="0"/>
    <x v="0"/>
    <n v="43212"/>
    <x v="0"/>
    <m/>
    <n v="0"/>
    <n v="0"/>
    <s v="Monthly Salary"/>
  </r>
  <r>
    <x v="57"/>
    <x v="1"/>
    <s v=""/>
    <x v="6"/>
    <x v="2"/>
    <x v="1"/>
    <n v="1577"/>
    <x v="1"/>
    <m/>
    <n v="2000"/>
    <n v="423"/>
    <s v="Leisure"/>
  </r>
  <r>
    <x v="58"/>
    <x v="1"/>
    <s v=""/>
    <x v="2"/>
    <x v="2"/>
    <x v="2"/>
    <n v="965"/>
    <x v="1"/>
    <m/>
    <n v="5000"/>
    <n v="4035"/>
    <s v="Groceries/Dining"/>
  </r>
  <r>
    <x v="59"/>
    <x v="2"/>
    <s v=""/>
    <x v="3"/>
    <x v="2"/>
    <x v="1"/>
    <n v="532"/>
    <x v="1"/>
    <m/>
    <n v="2000"/>
    <n v="1468"/>
    <s v="Transport/Fuel"/>
  </r>
  <r>
    <x v="60"/>
    <x v="2"/>
    <s v="Bonus"/>
    <x v="7"/>
    <x v="0"/>
    <x v="0"/>
    <n v="6263"/>
    <x v="0"/>
    <m/>
    <n v="0"/>
    <n v="0"/>
    <s v="Performance Bonus"/>
  </r>
  <r>
    <x v="61"/>
    <x v="2"/>
    <s v=""/>
    <x v="4"/>
    <x v="2"/>
    <x v="3"/>
    <n v="2638"/>
    <x v="1"/>
    <m/>
    <n v="5000"/>
    <n v="2362"/>
    <s v="Personal Shopping"/>
  </r>
  <r>
    <x v="62"/>
    <x v="2"/>
    <s v=""/>
    <x v="3"/>
    <x v="2"/>
    <x v="1"/>
    <n v="376"/>
    <x v="1"/>
    <m/>
    <n v="2000"/>
    <n v="1624"/>
    <s v="Transport/Fuel"/>
  </r>
  <r>
    <x v="63"/>
    <x v="2"/>
    <s v=""/>
    <x v="6"/>
    <x v="2"/>
    <x v="1"/>
    <n v="310"/>
    <x v="1"/>
    <m/>
    <n v="2000"/>
    <n v="1690"/>
    <s v="Leisure"/>
  </r>
  <r>
    <x v="64"/>
    <x v="2"/>
    <s v="Business"/>
    <x v="7"/>
    <x v="0"/>
    <x v="0"/>
    <n v="11098"/>
    <x v="0"/>
    <m/>
    <n v="0"/>
    <n v="0"/>
    <s v="Business Profit"/>
  </r>
  <r>
    <x v="65"/>
    <x v="2"/>
    <s v=""/>
    <x v="3"/>
    <x v="2"/>
    <x v="1"/>
    <n v="536"/>
    <x v="1"/>
    <m/>
    <n v="2000"/>
    <n v="1464"/>
    <s v="Transport/Fuel"/>
  </r>
  <r>
    <x v="66"/>
    <x v="2"/>
    <s v=""/>
    <x v="3"/>
    <x v="2"/>
    <x v="2"/>
    <n v="409"/>
    <x v="1"/>
    <m/>
    <n v="2000"/>
    <n v="1591"/>
    <s v="Transport/Fuel"/>
  </r>
  <r>
    <x v="67"/>
    <x v="2"/>
    <s v=""/>
    <x v="2"/>
    <x v="2"/>
    <x v="2"/>
    <n v="367"/>
    <x v="1"/>
    <m/>
    <n v="5000"/>
    <n v="4633"/>
    <s v="Groceries/Dining"/>
  </r>
  <r>
    <x v="68"/>
    <x v="2"/>
    <s v="Freelance"/>
    <x v="7"/>
    <x v="0"/>
    <x v="0"/>
    <n v="2233"/>
    <x v="0"/>
    <m/>
    <n v="0"/>
    <n v="0"/>
    <s v="Freelance Payment"/>
  </r>
  <r>
    <x v="69"/>
    <x v="2"/>
    <s v=""/>
    <x v="4"/>
    <x v="2"/>
    <x v="3"/>
    <n v="4541"/>
    <x v="1"/>
    <m/>
    <n v="5000"/>
    <n v="459"/>
    <s v="Personal Shopping"/>
  </r>
  <r>
    <x v="70"/>
    <x v="2"/>
    <s v=""/>
    <x v="5"/>
    <x v="1"/>
    <x v="0"/>
    <n v="5702"/>
    <x v="1"/>
    <m/>
    <n v="8000"/>
    <n v="2298"/>
    <s v="Loan Repayment"/>
  </r>
  <r>
    <x v="71"/>
    <x v="2"/>
    <s v=""/>
    <x v="3"/>
    <x v="2"/>
    <x v="2"/>
    <n v="127"/>
    <x v="1"/>
    <m/>
    <n v="2000"/>
    <n v="1873"/>
    <s v="Transport/Fuel"/>
  </r>
  <r>
    <x v="72"/>
    <x v="2"/>
    <s v="Bonus"/>
    <x v="7"/>
    <x v="0"/>
    <x v="0"/>
    <n v="1872"/>
    <x v="0"/>
    <m/>
    <n v="0"/>
    <n v="0"/>
    <s v="Performance Bonus"/>
  </r>
  <r>
    <x v="73"/>
    <x v="2"/>
    <s v=""/>
    <x v="6"/>
    <x v="2"/>
    <x v="1"/>
    <n v="1938"/>
    <x v="1"/>
    <m/>
    <n v="2000"/>
    <n v="62"/>
    <s v="Leisure"/>
  </r>
  <r>
    <x v="74"/>
    <x v="2"/>
    <s v=""/>
    <x v="2"/>
    <x v="2"/>
    <x v="1"/>
    <n v="646"/>
    <x v="1"/>
    <m/>
    <n v="5000"/>
    <n v="4354"/>
    <s v="Groceries/Dining"/>
  </r>
  <r>
    <x v="75"/>
    <x v="2"/>
    <s v=""/>
    <x v="3"/>
    <x v="2"/>
    <x v="1"/>
    <n v="328"/>
    <x v="1"/>
    <m/>
    <n v="2000"/>
    <n v="1672"/>
    <s v="Transport/Fuel"/>
  </r>
  <r>
    <x v="76"/>
    <x v="2"/>
    <s v="Salary"/>
    <x v="7"/>
    <x v="0"/>
    <x v="0"/>
    <n v="34375"/>
    <x v="0"/>
    <m/>
    <n v="0"/>
    <n v="0"/>
    <s v="Monthly Salary"/>
  </r>
  <r>
    <x v="77"/>
    <x v="2"/>
    <s v=""/>
    <x v="2"/>
    <x v="2"/>
    <x v="2"/>
    <n v="989"/>
    <x v="1"/>
    <m/>
    <n v="5000"/>
    <n v="4011"/>
    <s v="Groceries/Dining"/>
  </r>
  <r>
    <x v="78"/>
    <x v="2"/>
    <s v=""/>
    <x v="4"/>
    <x v="2"/>
    <x v="3"/>
    <n v="3540"/>
    <x v="1"/>
    <m/>
    <n v="5000"/>
    <n v="1460"/>
    <s v="Personal Shopping"/>
  </r>
  <r>
    <x v="79"/>
    <x v="2"/>
    <s v=""/>
    <x v="4"/>
    <x v="2"/>
    <x v="3"/>
    <n v="2870"/>
    <x v="1"/>
    <m/>
    <n v="5000"/>
    <n v="2130"/>
    <s v="Personal Shopping"/>
  </r>
  <r>
    <x v="80"/>
    <x v="2"/>
    <s v="Salary"/>
    <x v="7"/>
    <x v="0"/>
    <x v="0"/>
    <n v="30633"/>
    <x v="0"/>
    <m/>
    <n v="0"/>
    <n v="0"/>
    <s v="Monthly Salary"/>
  </r>
  <r>
    <x v="81"/>
    <x v="2"/>
    <s v=""/>
    <x v="4"/>
    <x v="2"/>
    <x v="3"/>
    <n v="4159"/>
    <x v="1"/>
    <m/>
    <n v="5000"/>
    <n v="841"/>
    <s v="Personal Shopping"/>
  </r>
  <r>
    <x v="82"/>
    <x v="2"/>
    <s v=""/>
    <x v="4"/>
    <x v="2"/>
    <x v="3"/>
    <n v="1546"/>
    <x v="1"/>
    <m/>
    <n v="5000"/>
    <n v="3454"/>
    <s v="Personal Shopping"/>
  </r>
  <r>
    <x v="83"/>
    <x v="2"/>
    <s v=""/>
    <x v="5"/>
    <x v="1"/>
    <x v="0"/>
    <n v="7477"/>
    <x v="1"/>
    <m/>
    <n v="8000"/>
    <n v="523"/>
    <s v="Loan Repayment"/>
  </r>
  <r>
    <x v="84"/>
    <x v="2"/>
    <s v="Bonus"/>
    <x v="7"/>
    <x v="0"/>
    <x v="0"/>
    <n v="7003"/>
    <x v="0"/>
    <m/>
    <n v="0"/>
    <n v="0"/>
    <s v="Performance Bonus"/>
  </r>
  <r>
    <x v="85"/>
    <x v="2"/>
    <s v=""/>
    <x v="2"/>
    <x v="2"/>
    <x v="1"/>
    <n v="554"/>
    <x v="1"/>
    <m/>
    <n v="5000"/>
    <n v="4446"/>
    <s v="Groceries/Dining"/>
  </r>
  <r>
    <x v="86"/>
    <x v="2"/>
    <s v=""/>
    <x v="5"/>
    <x v="1"/>
    <x v="0"/>
    <n v="9101"/>
    <x v="1"/>
    <m/>
    <n v="8000"/>
    <n v="-1101"/>
    <s v="Loan Repayment"/>
  </r>
  <r>
    <x v="87"/>
    <x v="2"/>
    <s v=""/>
    <x v="2"/>
    <x v="2"/>
    <x v="1"/>
    <n v="115"/>
    <x v="1"/>
    <m/>
    <n v="5000"/>
    <n v="4885"/>
    <s v="Groceries/Dining"/>
  </r>
  <r>
    <x v="88"/>
    <x v="2"/>
    <s v="Freelance"/>
    <x v="7"/>
    <x v="0"/>
    <x v="0"/>
    <n v="14346"/>
    <x v="0"/>
    <m/>
    <n v="0"/>
    <n v="0"/>
    <s v="Freelance Payment"/>
  </r>
  <r>
    <x v="89"/>
    <x v="2"/>
    <s v=""/>
    <x v="6"/>
    <x v="2"/>
    <x v="1"/>
    <n v="1775"/>
    <x v="1"/>
    <m/>
    <n v="2000"/>
    <n v="225"/>
    <s v="Leisure"/>
  </r>
  <r>
    <x v="90"/>
    <x v="3"/>
    <s v=""/>
    <x v="4"/>
    <x v="2"/>
    <x v="3"/>
    <n v="1784"/>
    <x v="1"/>
    <m/>
    <n v="5000"/>
    <n v="3216"/>
    <s v="Personal Shopping"/>
  </r>
  <r>
    <x v="91"/>
    <x v="3"/>
    <s v=""/>
    <x v="2"/>
    <x v="2"/>
    <x v="2"/>
    <n v="717"/>
    <x v="1"/>
    <m/>
    <n v="5000"/>
    <n v="4283"/>
    <s v="Groceries/Dining"/>
  </r>
  <r>
    <x v="92"/>
    <x v="3"/>
    <s v="Salary"/>
    <x v="7"/>
    <x v="0"/>
    <x v="0"/>
    <n v="41684"/>
    <x v="0"/>
    <m/>
    <n v="0"/>
    <n v="0"/>
    <s v="Monthly Salary"/>
  </r>
  <r>
    <x v="93"/>
    <x v="3"/>
    <s v=""/>
    <x v="5"/>
    <x v="1"/>
    <x v="0"/>
    <n v="11175"/>
    <x v="1"/>
    <m/>
    <n v="8000"/>
    <n v="-3175"/>
    <s v="Loan Repayment"/>
  </r>
  <r>
    <x v="94"/>
    <x v="3"/>
    <s v=""/>
    <x v="6"/>
    <x v="2"/>
    <x v="1"/>
    <n v="215"/>
    <x v="1"/>
    <m/>
    <n v="2000"/>
    <n v="1785"/>
    <s v="Leisure"/>
  </r>
  <r>
    <x v="95"/>
    <x v="3"/>
    <s v=""/>
    <x v="5"/>
    <x v="1"/>
    <x v="0"/>
    <n v="6351"/>
    <x v="1"/>
    <m/>
    <n v="8000"/>
    <n v="1649"/>
    <s v="Loan Repayment"/>
  </r>
  <r>
    <x v="96"/>
    <x v="3"/>
    <s v="Bonus"/>
    <x v="7"/>
    <x v="0"/>
    <x v="0"/>
    <n v="9869"/>
    <x v="0"/>
    <m/>
    <n v="0"/>
    <n v="0"/>
    <s v="Performance Bonus"/>
  </r>
  <r>
    <x v="97"/>
    <x v="3"/>
    <s v=""/>
    <x v="2"/>
    <x v="2"/>
    <x v="2"/>
    <n v="861"/>
    <x v="1"/>
    <m/>
    <n v="5000"/>
    <n v="4139"/>
    <s v="Groceries/Dining"/>
  </r>
  <r>
    <x v="98"/>
    <x v="3"/>
    <s v=""/>
    <x v="4"/>
    <x v="2"/>
    <x v="3"/>
    <n v="2866"/>
    <x v="1"/>
    <m/>
    <n v="5000"/>
    <n v="2134"/>
    <s v="Personal Shopping"/>
  </r>
  <r>
    <x v="99"/>
    <x v="3"/>
    <s v=""/>
    <x v="4"/>
    <x v="2"/>
    <x v="3"/>
    <n v="1133"/>
    <x v="1"/>
    <m/>
    <n v="5000"/>
    <n v="3867"/>
    <s v="Personal Shopp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E78BF7-BADC-4AF2-B64D-83C686607F0F}" name="PivotTable7"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3:B37" firstHeaderRow="1" firstDataRow="1" firstDataCol="1" rowPageCount="1" colPageCount="1"/>
  <pivotFields count="12">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5">
        <item x="0"/>
        <item x="1"/>
        <item x="2"/>
        <item x="3"/>
        <item t="default"/>
      </items>
    </pivotField>
    <pivotField showAll="0"/>
    <pivotField showAll="0"/>
    <pivotField axis="axisRow" showAll="0">
      <items count="4">
        <item x="0"/>
        <item x="1"/>
        <item x="2"/>
        <item t="default"/>
      </items>
    </pivotField>
    <pivotField showAll="0">
      <items count="5">
        <item x="0"/>
        <item x="2"/>
        <item x="3"/>
        <item x="1"/>
        <item t="default"/>
      </items>
    </pivotField>
    <pivotField dataField="1" showAll="0"/>
    <pivotField axis="axisPage" showAll="0">
      <items count="3">
        <item x="1"/>
        <item x="0"/>
        <item t="default"/>
      </items>
    </pivotField>
    <pivotField showAll="0"/>
    <pivotField showAll="0"/>
    <pivotField showAll="0"/>
    <pivotField showAll="0"/>
  </pivotFields>
  <rowFields count="1">
    <field x="4"/>
  </rowFields>
  <rowItems count="4">
    <i>
      <x/>
    </i>
    <i>
      <x v="1"/>
    </i>
    <i>
      <x v="2"/>
    </i>
    <i t="grand">
      <x/>
    </i>
  </rowItems>
  <colItems count="1">
    <i/>
  </colItems>
  <pageFields count="1">
    <pageField fld="7" hier="-1"/>
  </pageFields>
  <dataFields count="1">
    <dataField name="Sum of Amount" fld="6" showDataAs="percentOfTotal" baseField="0" baseItem="0" numFmtId="10"/>
  </dataFields>
  <chartFormats count="4">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4" count="1" selected="0">
            <x v="1"/>
          </reference>
        </references>
      </pivotArea>
    </chartFormat>
    <chartFormat chart="6" format="6">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6B5AC7-F60F-49D6-96A5-F9C44D30BA34}" name="PivotTable3"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23:B28" firstHeaderRow="1" firstDataRow="1" firstDataCol="1"/>
  <pivotFields count="12">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5">
        <item x="0"/>
        <item x="1"/>
        <item x="2"/>
        <item x="3"/>
        <item t="default"/>
      </items>
    </pivotField>
    <pivotField showAll="0"/>
    <pivotField showAll="0"/>
    <pivotField showAll="0">
      <items count="4">
        <item x="0"/>
        <item x="1"/>
        <item x="2"/>
        <item t="default"/>
      </items>
    </pivotField>
    <pivotField axis="axisRow" showAll="0">
      <items count="5">
        <item x="0"/>
        <item x="2"/>
        <item x="3"/>
        <item x="1"/>
        <item t="default"/>
      </items>
    </pivotField>
    <pivotField dataField="1" showAll="0"/>
    <pivotField showAll="0">
      <items count="3">
        <item x="1"/>
        <item x="0"/>
        <item t="default"/>
      </items>
    </pivotField>
    <pivotField showAll="0"/>
    <pivotField showAll="0"/>
    <pivotField showAll="0"/>
    <pivotField showAll="0"/>
  </pivotFields>
  <rowFields count="1">
    <field x="5"/>
  </rowFields>
  <rowItems count="5">
    <i>
      <x/>
    </i>
    <i>
      <x v="1"/>
    </i>
    <i>
      <x v="2"/>
    </i>
    <i>
      <x v="3"/>
    </i>
    <i t="grand">
      <x/>
    </i>
  </rowItems>
  <colItems count="1">
    <i/>
  </colItems>
  <dataFields count="1">
    <dataField name="Sum of Amount" fld="6" showDataAs="percentOfTotal" baseField="5" baseItem="0" numFmtId="10"/>
  </dataFields>
  <chartFormats count="6">
    <chartFormat chart="4"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5" count="1" selected="0">
            <x v="0"/>
          </reference>
        </references>
      </pivotArea>
    </chartFormat>
    <chartFormat chart="9" format="8">
      <pivotArea type="data" outline="0" fieldPosition="0">
        <references count="2">
          <reference field="4294967294" count="1" selected="0">
            <x v="0"/>
          </reference>
          <reference field="5" count="1" selected="0">
            <x v="1"/>
          </reference>
        </references>
      </pivotArea>
    </chartFormat>
    <chartFormat chart="9" format="9">
      <pivotArea type="data" outline="0" fieldPosition="0">
        <references count="2">
          <reference field="4294967294" count="1" selected="0">
            <x v="0"/>
          </reference>
          <reference field="5" count="1" selected="0">
            <x v="2"/>
          </reference>
        </references>
      </pivotArea>
    </chartFormat>
    <chartFormat chart="9"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1BA4E5-DA89-45EA-89BA-2789099D300D}" name="PivotTable2"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3:D19" firstHeaderRow="1" firstDataRow="2" firstDataCol="1"/>
  <pivotFields count="12">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5">
        <item x="0"/>
        <item x="1"/>
        <item x="2"/>
        <item x="3"/>
        <item t="default"/>
      </items>
    </pivotField>
    <pivotField showAll="0"/>
    <pivotField showAll="0"/>
    <pivotField showAll="0">
      <items count="4">
        <item x="0"/>
        <item x="1"/>
        <item x="2"/>
        <item t="default"/>
      </items>
    </pivotField>
    <pivotField showAll="0">
      <items count="5">
        <item x="0"/>
        <item x="2"/>
        <item x="3"/>
        <item x="1"/>
        <item t="default"/>
      </items>
    </pivotField>
    <pivotField dataField="1" showAll="0"/>
    <pivotField axis="axisCol" showAll="0">
      <items count="3">
        <item x="1"/>
        <item x="0"/>
        <item t="default"/>
      </items>
    </pivotField>
    <pivotField showAll="0"/>
    <pivotField showAll="0"/>
    <pivotField showAll="0"/>
    <pivotField showAll="0"/>
  </pivotFields>
  <rowFields count="1">
    <field x="1"/>
  </rowFields>
  <rowItems count="5">
    <i>
      <x/>
    </i>
    <i>
      <x v="1"/>
    </i>
    <i>
      <x v="2"/>
    </i>
    <i>
      <x v="3"/>
    </i>
    <i t="grand">
      <x/>
    </i>
  </rowItems>
  <colFields count="1">
    <field x="7"/>
  </colFields>
  <colItems count="3">
    <i>
      <x/>
    </i>
    <i>
      <x v="1"/>
    </i>
    <i t="grand">
      <x/>
    </i>
  </colItems>
  <dataFields count="1">
    <dataField name="Sum of Amount" fld="6"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5" format="4" series="1">
      <pivotArea type="data" outline="0" fieldPosition="0">
        <references count="2">
          <reference field="4294967294" count="1" selected="0">
            <x v="0"/>
          </reference>
          <reference field="7" count="1" selected="0">
            <x v="0"/>
          </reference>
        </references>
      </pivotArea>
    </chartFormat>
    <chartFormat chart="5"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11B8B8-20FD-4820-B330-E47A54BE8400}" name="PivotTable1"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2" firstHeaderRow="1" firstDataRow="1" firstDataCol="1" rowPageCount="1" colPageCount="1"/>
  <pivotFields count="12">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5">
        <item x="0"/>
        <item x="1"/>
        <item x="2"/>
        <item x="3"/>
        <item t="default"/>
      </items>
    </pivotField>
    <pivotField showAll="0"/>
    <pivotField axis="axisRow" showAll="0">
      <items count="9">
        <item x="7"/>
        <item x="5"/>
        <item x="6"/>
        <item x="2"/>
        <item x="1"/>
        <item x="4"/>
        <item x="3"/>
        <item x="0"/>
        <item t="default"/>
      </items>
    </pivotField>
    <pivotField showAll="0">
      <items count="4">
        <item x="0"/>
        <item x="1"/>
        <item x="2"/>
        <item t="default"/>
      </items>
    </pivotField>
    <pivotField showAll="0">
      <items count="5">
        <item x="0"/>
        <item x="2"/>
        <item x="3"/>
        <item x="1"/>
        <item t="default"/>
      </items>
    </pivotField>
    <pivotField dataField="1" showAll="0"/>
    <pivotField axis="axisPage" showAll="0">
      <items count="3">
        <item x="1"/>
        <item x="0"/>
        <item t="default"/>
      </items>
    </pivotField>
    <pivotField showAll="0"/>
    <pivotField showAll="0"/>
    <pivotField showAll="0"/>
    <pivotField showAll="0"/>
  </pivotFields>
  <rowFields count="1">
    <field x="3"/>
  </rowFields>
  <rowItems count="9">
    <i>
      <x/>
    </i>
    <i>
      <x v="1"/>
    </i>
    <i>
      <x v="2"/>
    </i>
    <i>
      <x v="3"/>
    </i>
    <i>
      <x v="4"/>
    </i>
    <i>
      <x v="5"/>
    </i>
    <i>
      <x v="6"/>
    </i>
    <i>
      <x v="7"/>
    </i>
    <i t="grand">
      <x/>
    </i>
  </rowItems>
  <colItems count="1">
    <i/>
  </colItems>
  <pageFields count="1">
    <pageField fld="7" hier="-1"/>
  </pageFields>
  <dataFields count="1">
    <dataField name="Sum of Amount"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8070168-0190-4503-91E0-C6B2D203DF59}" sourceName="Month">
  <pivotTables>
    <pivotTable tabId="5" name="PivotTable3"/>
    <pivotTable tabId="5" name="PivotTable1"/>
    <pivotTable tabId="5" name="PivotTable2"/>
    <pivotTable tabId="5" name="PivotTable7"/>
  </pivotTables>
  <data>
    <tabular pivotCacheId="184853387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nse_Type" xr10:uid="{EB9DFE99-CA63-4386-BCD7-477EC39F9AAE}" sourceName="Expense Type">
  <pivotTables>
    <pivotTable tabId="5" name="PivotTable3"/>
    <pivotTable tabId="5" name="PivotTable1"/>
    <pivotTable tabId="5" name="PivotTable2"/>
    <pivotTable tabId="5" name="PivotTable7"/>
  </pivotTables>
  <data>
    <tabular pivotCacheId="184853387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168B0483-6104-4F49-B115-4DBE8A285517}" sourceName="Payment Mode">
  <pivotTables>
    <pivotTable tabId="5" name="PivotTable3"/>
    <pivotTable tabId="5" name="PivotTable1"/>
    <pivotTable tabId="5" name="PivotTable2"/>
    <pivotTable tabId="5" name="PivotTable7"/>
  </pivotTables>
  <data>
    <tabular pivotCacheId="1848533878">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icator" xr10:uid="{B11B5DE4-C8A2-41D5-A09F-46123BA5F651}" sourceName="Indicator">
  <pivotTables>
    <pivotTable tabId="5" name="PivotTable3"/>
    <pivotTable tabId="5" name="PivotTable1"/>
    <pivotTable tabId="5" name="PivotTable2"/>
    <pivotTable tabId="5" name="PivotTable7"/>
  </pivotTables>
  <data>
    <tabular pivotCacheId="184853387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E2785652-BE4A-438D-9FC1-71526C738929}" cache="Slicer_Month" caption="Month" rowHeight="247650"/>
  <slicer name="Expense Type" xr10:uid="{29F405F8-E6DB-41A6-B1E2-95E6DD6FADF9}" cache="Slicer_Expense_Type" caption="Expense Type" rowHeight="247650"/>
  <slicer name="Payment Mode" xr10:uid="{815DE792-31CB-48A0-9B03-1AFB6E507473}" cache="Slicer_Payment_Mode" caption="Payment Mode" rowHeight="247650"/>
  <slicer name="Indicator" xr10:uid="{F6D89013-2E34-4AB4-A041-4D113443F91B}" cache="Slicer_Indicator" caption="Indicato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ACBC9B-B7CC-465A-AA1F-F4FB1F7EA2BD}" name="Table1" displayName="Table1" ref="A1:L102" totalsRowCount="1" headerRowDxfId="23">
  <autoFilter ref="A1:L101" xr:uid="{CFACBC9B-B7CC-465A-AA1F-F4FB1F7EA2BD}"/>
  <tableColumns count="12">
    <tableColumn id="1" xr3:uid="{EC8A3220-4E6C-474A-8A02-A5D08B8330D5}" name="Date" dataDxfId="22" totalsRowDxfId="17"/>
    <tableColumn id="2" xr3:uid="{1C8BAB25-CF77-41EC-A3DC-8460BE95BB94}" name="Month" dataDxfId="21" totalsRowDxfId="16"/>
    <tableColumn id="3" xr3:uid="{495A3A15-C948-41EC-88D9-089C278D5A12}" name="Income Source"/>
    <tableColumn id="4" xr3:uid="{22ACECA0-D373-489F-A584-539C45F90F8E}" name="Expense Category"/>
    <tableColumn id="5" xr3:uid="{2B00D2BA-2FF6-4FBB-9D2C-B78564766FB7}" name="Expense Type"/>
    <tableColumn id="6" xr3:uid="{DD92AB5C-5190-48D0-A423-8863CCD5D363}" name="Payment Mode"/>
    <tableColumn id="7" xr3:uid="{54997E28-9108-4CD7-8C5E-707801C63C12}" name="Amount" dataDxfId="20" totalsRowDxfId="15"/>
    <tableColumn id="8" xr3:uid="{EE34805F-8C84-4730-9727-E0BBE8933294}" name="Indicator"/>
    <tableColumn id="9" xr3:uid="{2D3FAD3F-69D8-4194-88E9-E327C257CF29}" name="Savings"/>
    <tableColumn id="10" xr3:uid="{528CD6AD-CBBB-44E7-8BD5-E89E8D278CFE}" name="Budget Allocated" dataDxfId="19" totalsRowDxfId="14"/>
    <tableColumn id="11" xr3:uid="{4E6D213B-3728-4DA0-8D1B-CF489FAAECB6}" name="Budget Remaining" dataDxfId="18" totalsRowDxfId="13"/>
    <tableColumn id="12" xr3:uid="{50A1D784-8972-4CAE-8828-535837E57707}"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10ED78-12A2-4B0A-9CA9-8C3B5A90979B}" name="Table3" displayName="Table3" ref="A1:D8" totalsRowShown="0" headerRowBorderDxfId="5" tableBorderDxfId="6" totalsRowBorderDxfId="4">
  <autoFilter ref="A1:D8" xr:uid="{C710ED78-12A2-4B0A-9CA9-8C3B5A90979B}"/>
  <tableColumns count="4">
    <tableColumn id="1" xr3:uid="{7448E2A2-FC13-45CE-BB1E-BB300CB1182F}" name="Expenses Category" dataDxfId="3"/>
    <tableColumn id="2" xr3:uid="{EA88A419-D5D8-42A0-A428-5B34D456CDB9}" name="Budget" dataDxfId="2"/>
    <tableColumn id="3" xr3:uid="{82F80B21-4D26-4931-8F56-BAE8BC3FB654}" name="Actual Expense" dataDxfId="1"/>
    <tableColumn id="4" xr3:uid="{5B27AC0B-3D6D-4067-96D9-0D1798D93AB9}" name="Budget Remaining" dataDxfId="0"/>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332F18-CF99-4326-A4E6-1BE1937713E7}" name="Table2" displayName="Table2" ref="A1:B7" totalsRowShown="0" headerRowDxfId="7" headerRowBorderDxfId="11" tableBorderDxfId="12" totalsRowBorderDxfId="10">
  <autoFilter ref="A1:B7" xr:uid="{EC332F18-CF99-4326-A4E6-1BE1937713E7}"/>
  <tableColumns count="2">
    <tableColumn id="1" xr3:uid="{3F511732-E17B-4866-9253-426DBD520389}" name="KPI" dataDxfId="9"/>
    <tableColumn id="2" xr3:uid="{5C96BCD4-A5A9-4401-9527-797E4251C159}" name="VALUE" dataDxfId="8"/>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25EAFDF-3ABF-4EA6-8CCB-E51846ECD6E9}" sourceName="Date">
  <pivotTables>
    <pivotTable tabId="5" name="PivotTable3"/>
    <pivotTable tabId="5" name="PivotTable1"/>
    <pivotTable tabId="5" name="PivotTable2"/>
    <pivotTable tabId="5" name="PivotTable7"/>
  </pivotTables>
  <state minimalRefreshVersion="6" lastRefreshVersion="6" pivotCacheId="1848533878"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B14B808-6A3B-4FC6-A38D-840985469140}" cache="NativeTimeline_Date" caption="Date" level="2" selectionLevel="2" scrollPosition="2026-05-19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8829F-7EB4-4191-9F2D-2459EF2E7EFD}">
  <dimension ref="A1:L101"/>
  <sheetViews>
    <sheetView tabSelected="1" workbookViewId="0"/>
  </sheetViews>
  <sheetFormatPr defaultColWidth="24.88671875" defaultRowHeight="14.4" x14ac:dyDescent="0.3"/>
  <cols>
    <col min="1" max="1" width="10.33203125" bestFit="1" customWidth="1"/>
    <col min="2" max="2" width="6.109375" bestFit="1" customWidth="1"/>
    <col min="3" max="3" width="13.44140625" bestFit="1" customWidth="1"/>
    <col min="4" max="4" width="15.6640625" bestFit="1" customWidth="1"/>
    <col min="5" max="5" width="12.109375" bestFit="1" customWidth="1"/>
    <col min="6" max="6" width="13.33203125" bestFit="1" customWidth="1"/>
    <col min="7" max="7" width="7.44140625" bestFit="1" customWidth="1"/>
    <col min="8" max="8" width="8.5546875" bestFit="1" customWidth="1"/>
    <col min="9" max="9" width="7.33203125" bestFit="1" customWidth="1"/>
    <col min="10" max="10" width="15.21875" bestFit="1" customWidth="1"/>
    <col min="11" max="11" width="16" bestFit="1" customWidth="1"/>
    <col min="12" max="12" width="17"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v>46023</v>
      </c>
      <c r="B2" s="3" t="s">
        <v>12</v>
      </c>
      <c r="C2" s="3" t="s">
        <v>13</v>
      </c>
      <c r="D2" s="3" t="s">
        <v>14</v>
      </c>
      <c r="E2" s="3" t="s">
        <v>14</v>
      </c>
      <c r="F2" s="3" t="s">
        <v>15</v>
      </c>
      <c r="G2" s="3">
        <v>50000</v>
      </c>
      <c r="H2" s="3" t="s">
        <v>16</v>
      </c>
      <c r="I2" s="3"/>
      <c r="J2" s="3">
        <v>0</v>
      </c>
      <c r="K2" s="3">
        <v>0</v>
      </c>
      <c r="L2" s="3" t="s">
        <v>17</v>
      </c>
    </row>
    <row r="3" spans="1:12" x14ac:dyDescent="0.3">
      <c r="A3" s="2">
        <v>46024</v>
      </c>
      <c r="B3" s="3" t="s">
        <v>12</v>
      </c>
      <c r="C3" s="3" t="s">
        <v>14</v>
      </c>
      <c r="D3" s="3" t="s">
        <v>18</v>
      </c>
      <c r="E3" s="3" t="s">
        <v>19</v>
      </c>
      <c r="F3" s="3" t="s">
        <v>15</v>
      </c>
      <c r="G3" s="3">
        <v>15000</v>
      </c>
      <c r="H3" s="3" t="s">
        <v>20</v>
      </c>
      <c r="I3" s="3"/>
      <c r="J3" s="3">
        <v>15000</v>
      </c>
      <c r="K3" s="3">
        <v>0</v>
      </c>
      <c r="L3" s="3" t="s">
        <v>21</v>
      </c>
    </row>
    <row r="4" spans="1:12" x14ac:dyDescent="0.3">
      <c r="A4" s="2">
        <v>46025</v>
      </c>
      <c r="B4" s="3" t="s">
        <v>12</v>
      </c>
      <c r="C4" s="3" t="s">
        <v>14</v>
      </c>
      <c r="D4" s="3" t="s">
        <v>22</v>
      </c>
      <c r="E4" s="3" t="s">
        <v>23</v>
      </c>
      <c r="F4" s="3" t="s">
        <v>24</v>
      </c>
      <c r="G4" s="3">
        <v>500</v>
      </c>
      <c r="H4" s="3" t="s">
        <v>20</v>
      </c>
      <c r="I4" s="3"/>
      <c r="J4" s="3">
        <v>5000</v>
      </c>
      <c r="K4" s="3">
        <v>4500</v>
      </c>
      <c r="L4" s="3" t="s">
        <v>25</v>
      </c>
    </row>
    <row r="5" spans="1:12" x14ac:dyDescent="0.3">
      <c r="A5" s="2">
        <v>46026</v>
      </c>
      <c r="B5" s="3" t="s">
        <v>12</v>
      </c>
      <c r="C5" s="3" t="s">
        <v>26</v>
      </c>
      <c r="D5" s="3" t="s">
        <v>14</v>
      </c>
      <c r="E5" s="3" t="s">
        <v>14</v>
      </c>
      <c r="F5" s="3" t="s">
        <v>24</v>
      </c>
      <c r="G5" s="3">
        <v>8000</v>
      </c>
      <c r="H5" s="3" t="s">
        <v>16</v>
      </c>
      <c r="I5" s="3"/>
      <c r="J5" s="3">
        <v>0</v>
      </c>
      <c r="K5" s="3">
        <v>0</v>
      </c>
      <c r="L5" s="3" t="s">
        <v>27</v>
      </c>
    </row>
    <row r="6" spans="1:12" x14ac:dyDescent="0.3">
      <c r="A6" s="2">
        <v>46027</v>
      </c>
      <c r="B6" s="3" t="s">
        <v>12</v>
      </c>
      <c r="C6" s="3" t="s">
        <v>14</v>
      </c>
      <c r="D6" s="3" t="s">
        <v>28</v>
      </c>
      <c r="E6" s="3" t="s">
        <v>23</v>
      </c>
      <c r="F6" s="3" t="s">
        <v>29</v>
      </c>
      <c r="G6" s="3">
        <v>300</v>
      </c>
      <c r="H6" s="3" t="s">
        <v>20</v>
      </c>
      <c r="I6" s="3"/>
      <c r="J6" s="3">
        <v>2000</v>
      </c>
      <c r="K6" s="3">
        <v>1700</v>
      </c>
      <c r="L6" s="3" t="s">
        <v>30</v>
      </c>
    </row>
    <row r="7" spans="1:12" x14ac:dyDescent="0.3">
      <c r="A7" s="2">
        <v>46028</v>
      </c>
      <c r="B7" s="3" t="s">
        <v>12</v>
      </c>
      <c r="C7" s="3" t="s">
        <v>14</v>
      </c>
      <c r="D7" s="3" t="s">
        <v>31</v>
      </c>
      <c r="E7" s="3" t="s">
        <v>23</v>
      </c>
      <c r="F7" s="3" t="s">
        <v>32</v>
      </c>
      <c r="G7" s="3">
        <v>2000</v>
      </c>
      <c r="H7" s="3" t="s">
        <v>20</v>
      </c>
      <c r="I7" s="3"/>
      <c r="J7" s="3">
        <v>5000</v>
      </c>
      <c r="K7" s="3">
        <v>3000</v>
      </c>
      <c r="L7" s="3" t="s">
        <v>33</v>
      </c>
    </row>
    <row r="8" spans="1:12" x14ac:dyDescent="0.3">
      <c r="A8" s="2">
        <v>46029</v>
      </c>
      <c r="B8" s="3" t="s">
        <v>12</v>
      </c>
      <c r="C8" s="3" t="s">
        <v>14</v>
      </c>
      <c r="D8" s="3" t="s">
        <v>34</v>
      </c>
      <c r="E8" s="3" t="s">
        <v>19</v>
      </c>
      <c r="F8" s="3" t="s">
        <v>15</v>
      </c>
      <c r="G8" s="3">
        <v>8000</v>
      </c>
      <c r="H8" s="3" t="s">
        <v>20</v>
      </c>
      <c r="I8" s="3"/>
      <c r="J8" s="3">
        <v>8000</v>
      </c>
      <c r="K8" s="3">
        <v>0</v>
      </c>
      <c r="L8" s="3" t="s">
        <v>35</v>
      </c>
    </row>
    <row r="9" spans="1:12" x14ac:dyDescent="0.3">
      <c r="A9" s="2">
        <v>46030</v>
      </c>
      <c r="B9" s="3" t="s">
        <v>12</v>
      </c>
      <c r="C9" s="3" t="s">
        <v>36</v>
      </c>
      <c r="D9" s="3" t="s">
        <v>14</v>
      </c>
      <c r="E9" s="3" t="s">
        <v>14</v>
      </c>
      <c r="F9" s="3" t="s">
        <v>15</v>
      </c>
      <c r="G9" s="3">
        <v>12000</v>
      </c>
      <c r="H9" s="3" t="s">
        <v>16</v>
      </c>
      <c r="I9" s="3"/>
      <c r="J9" s="3">
        <v>0</v>
      </c>
      <c r="K9" s="3">
        <v>0</v>
      </c>
      <c r="L9" s="3" t="s">
        <v>37</v>
      </c>
    </row>
    <row r="10" spans="1:12" x14ac:dyDescent="0.3">
      <c r="A10" s="2">
        <v>46031</v>
      </c>
      <c r="B10" s="3" t="s">
        <v>12</v>
      </c>
      <c r="C10" s="3" t="s">
        <v>14</v>
      </c>
      <c r="D10" s="3" t="s">
        <v>22</v>
      </c>
      <c r="E10" s="3" t="s">
        <v>23</v>
      </c>
      <c r="F10" s="3" t="s">
        <v>24</v>
      </c>
      <c r="G10" s="3">
        <v>700</v>
      </c>
      <c r="H10" s="3" t="s">
        <v>20</v>
      </c>
      <c r="I10" s="3"/>
      <c r="J10" s="3">
        <v>5000</v>
      </c>
      <c r="K10" s="3">
        <v>3800</v>
      </c>
      <c r="L10" s="3" t="s">
        <v>38</v>
      </c>
    </row>
    <row r="11" spans="1:12" x14ac:dyDescent="0.3">
      <c r="A11" s="2">
        <v>46032</v>
      </c>
      <c r="B11" s="3" t="s">
        <v>12</v>
      </c>
      <c r="C11" s="3" t="s">
        <v>14</v>
      </c>
      <c r="D11" s="3" t="s">
        <v>39</v>
      </c>
      <c r="E11" s="3" t="s">
        <v>23</v>
      </c>
      <c r="F11" s="3" t="s">
        <v>24</v>
      </c>
      <c r="G11" s="3">
        <v>400</v>
      </c>
      <c r="H11" s="3" t="s">
        <v>20</v>
      </c>
      <c r="I11" s="3"/>
      <c r="J11" s="3">
        <v>2000</v>
      </c>
      <c r="K11" s="3">
        <v>1600</v>
      </c>
      <c r="L11" s="3" t="s">
        <v>40</v>
      </c>
    </row>
    <row r="12" spans="1:12" x14ac:dyDescent="0.3">
      <c r="A12" s="2">
        <v>46033</v>
      </c>
      <c r="B12" s="3" t="s">
        <v>12</v>
      </c>
      <c r="C12" t="s">
        <v>41</v>
      </c>
      <c r="D12" t="s">
        <v>22</v>
      </c>
      <c r="E12" t="s">
        <v>23</v>
      </c>
      <c r="F12" t="s">
        <v>29</v>
      </c>
      <c r="G12">
        <v>919</v>
      </c>
      <c r="H12" t="s">
        <v>20</v>
      </c>
      <c r="J12">
        <v>5000</v>
      </c>
      <c r="K12">
        <v>4081</v>
      </c>
      <c r="L12" t="s">
        <v>47</v>
      </c>
    </row>
    <row r="13" spans="1:12" x14ac:dyDescent="0.3">
      <c r="A13" s="2">
        <v>46034</v>
      </c>
      <c r="B13" s="3" t="s">
        <v>12</v>
      </c>
      <c r="C13" t="s">
        <v>41</v>
      </c>
      <c r="D13" t="s">
        <v>31</v>
      </c>
      <c r="E13" t="s">
        <v>23</v>
      </c>
      <c r="F13" t="s">
        <v>32</v>
      </c>
      <c r="G13">
        <v>2856</v>
      </c>
      <c r="H13" t="s">
        <v>20</v>
      </c>
      <c r="J13">
        <v>5000</v>
      </c>
      <c r="K13">
        <v>2144</v>
      </c>
      <c r="L13" t="s">
        <v>48</v>
      </c>
    </row>
    <row r="14" spans="1:12" x14ac:dyDescent="0.3">
      <c r="A14" s="2">
        <v>46035</v>
      </c>
      <c r="B14" s="3" t="s">
        <v>12</v>
      </c>
      <c r="C14" t="s">
        <v>13</v>
      </c>
      <c r="D14" t="s">
        <v>41</v>
      </c>
      <c r="E14" t="s">
        <v>41</v>
      </c>
      <c r="F14" t="s">
        <v>15</v>
      </c>
      <c r="G14">
        <v>51668</v>
      </c>
      <c r="H14" t="s">
        <v>16</v>
      </c>
      <c r="J14">
        <v>0</v>
      </c>
      <c r="K14">
        <v>0</v>
      </c>
      <c r="L14" t="s">
        <v>17</v>
      </c>
    </row>
    <row r="15" spans="1:12" x14ac:dyDescent="0.3">
      <c r="A15" s="2">
        <v>46036</v>
      </c>
      <c r="B15" s="3" t="s">
        <v>12</v>
      </c>
      <c r="C15" t="s">
        <v>41</v>
      </c>
      <c r="D15" t="s">
        <v>18</v>
      </c>
      <c r="E15" t="s">
        <v>19</v>
      </c>
      <c r="F15" t="s">
        <v>15</v>
      </c>
      <c r="G15">
        <v>10599</v>
      </c>
      <c r="H15" t="s">
        <v>20</v>
      </c>
      <c r="J15">
        <v>15000</v>
      </c>
      <c r="K15">
        <v>4401</v>
      </c>
      <c r="L15" t="s">
        <v>21</v>
      </c>
    </row>
    <row r="16" spans="1:12" x14ac:dyDescent="0.3">
      <c r="A16" s="2">
        <v>46037</v>
      </c>
      <c r="B16" s="3" t="s">
        <v>12</v>
      </c>
      <c r="C16" t="s">
        <v>41</v>
      </c>
      <c r="D16" t="s">
        <v>31</v>
      </c>
      <c r="E16" t="s">
        <v>23</v>
      </c>
      <c r="F16" t="s">
        <v>32</v>
      </c>
      <c r="G16">
        <v>1513</v>
      </c>
      <c r="H16" t="s">
        <v>20</v>
      </c>
      <c r="J16">
        <v>5000</v>
      </c>
      <c r="K16">
        <v>3487</v>
      </c>
      <c r="L16" t="s">
        <v>48</v>
      </c>
    </row>
    <row r="17" spans="1:12" x14ac:dyDescent="0.3">
      <c r="A17" s="2">
        <v>46038</v>
      </c>
      <c r="B17" s="3" t="s">
        <v>12</v>
      </c>
      <c r="C17" t="s">
        <v>41</v>
      </c>
      <c r="D17" t="s">
        <v>39</v>
      </c>
      <c r="E17" t="s">
        <v>23</v>
      </c>
      <c r="F17" t="s">
        <v>24</v>
      </c>
      <c r="G17">
        <v>1018</v>
      </c>
      <c r="H17" t="s">
        <v>20</v>
      </c>
      <c r="J17">
        <v>2000</v>
      </c>
      <c r="K17">
        <v>982</v>
      </c>
      <c r="L17" t="s">
        <v>49</v>
      </c>
    </row>
    <row r="18" spans="1:12" x14ac:dyDescent="0.3">
      <c r="A18" s="2">
        <v>46039</v>
      </c>
      <c r="B18" s="3" t="s">
        <v>12</v>
      </c>
      <c r="C18" t="s">
        <v>26</v>
      </c>
      <c r="D18" t="s">
        <v>41</v>
      </c>
      <c r="E18" t="s">
        <v>41</v>
      </c>
      <c r="F18" t="s">
        <v>15</v>
      </c>
      <c r="G18">
        <v>4193</v>
      </c>
      <c r="H18" t="s">
        <v>16</v>
      </c>
      <c r="J18">
        <v>0</v>
      </c>
      <c r="K18">
        <v>0</v>
      </c>
      <c r="L18" t="s">
        <v>50</v>
      </c>
    </row>
    <row r="19" spans="1:12" x14ac:dyDescent="0.3">
      <c r="A19" s="2">
        <v>46040</v>
      </c>
      <c r="B19" s="3" t="s">
        <v>12</v>
      </c>
      <c r="C19" t="s">
        <v>41</v>
      </c>
      <c r="D19" t="s">
        <v>22</v>
      </c>
      <c r="E19" t="s">
        <v>23</v>
      </c>
      <c r="F19" t="s">
        <v>24</v>
      </c>
      <c r="G19">
        <v>276</v>
      </c>
      <c r="H19" t="s">
        <v>20</v>
      </c>
      <c r="J19">
        <v>5000</v>
      </c>
      <c r="K19">
        <v>4724</v>
      </c>
      <c r="L19" t="s">
        <v>47</v>
      </c>
    </row>
    <row r="20" spans="1:12" x14ac:dyDescent="0.3">
      <c r="A20" s="2">
        <v>46041</v>
      </c>
      <c r="B20" s="3" t="s">
        <v>12</v>
      </c>
      <c r="C20" t="s">
        <v>41</v>
      </c>
      <c r="D20" t="s">
        <v>28</v>
      </c>
      <c r="E20" t="s">
        <v>23</v>
      </c>
      <c r="F20" t="s">
        <v>24</v>
      </c>
      <c r="G20">
        <v>564</v>
      </c>
      <c r="H20" t="s">
        <v>20</v>
      </c>
      <c r="J20">
        <v>2000</v>
      </c>
      <c r="K20">
        <v>1436</v>
      </c>
      <c r="L20" t="s">
        <v>51</v>
      </c>
    </row>
    <row r="21" spans="1:12" x14ac:dyDescent="0.3">
      <c r="A21" s="2">
        <v>46042</v>
      </c>
      <c r="B21" s="3" t="s">
        <v>12</v>
      </c>
      <c r="C21" t="s">
        <v>41</v>
      </c>
      <c r="D21" t="s">
        <v>28</v>
      </c>
      <c r="E21" t="s">
        <v>23</v>
      </c>
      <c r="F21" t="s">
        <v>29</v>
      </c>
      <c r="G21">
        <v>339</v>
      </c>
      <c r="H21" t="s">
        <v>20</v>
      </c>
      <c r="J21">
        <v>2000</v>
      </c>
      <c r="K21">
        <v>1661</v>
      </c>
      <c r="L21" t="s">
        <v>51</v>
      </c>
    </row>
    <row r="22" spans="1:12" x14ac:dyDescent="0.3">
      <c r="A22" s="2">
        <v>46043</v>
      </c>
      <c r="B22" s="3" t="s">
        <v>12</v>
      </c>
      <c r="C22" t="s">
        <v>13</v>
      </c>
      <c r="D22" t="s">
        <v>41</v>
      </c>
      <c r="E22" t="s">
        <v>41</v>
      </c>
      <c r="F22" t="s">
        <v>15</v>
      </c>
      <c r="G22">
        <v>56008</v>
      </c>
      <c r="H22" t="s">
        <v>16</v>
      </c>
      <c r="J22">
        <v>0</v>
      </c>
      <c r="K22">
        <v>0</v>
      </c>
      <c r="L22" t="s">
        <v>17</v>
      </c>
    </row>
    <row r="23" spans="1:12" x14ac:dyDescent="0.3">
      <c r="A23" s="2">
        <v>46044</v>
      </c>
      <c r="B23" s="3" t="s">
        <v>12</v>
      </c>
      <c r="C23" t="s">
        <v>41</v>
      </c>
      <c r="D23" t="s">
        <v>28</v>
      </c>
      <c r="E23" t="s">
        <v>23</v>
      </c>
      <c r="F23" t="s">
        <v>24</v>
      </c>
      <c r="G23">
        <v>509</v>
      </c>
      <c r="H23" t="s">
        <v>20</v>
      </c>
      <c r="J23">
        <v>2000</v>
      </c>
      <c r="K23">
        <v>1491</v>
      </c>
      <c r="L23" t="s">
        <v>51</v>
      </c>
    </row>
    <row r="24" spans="1:12" x14ac:dyDescent="0.3">
      <c r="A24" s="2">
        <v>46045</v>
      </c>
      <c r="B24" s="3" t="s">
        <v>12</v>
      </c>
      <c r="C24" t="s">
        <v>41</v>
      </c>
      <c r="D24" t="s">
        <v>34</v>
      </c>
      <c r="E24" t="s">
        <v>19</v>
      </c>
      <c r="F24" t="s">
        <v>15</v>
      </c>
      <c r="G24">
        <v>13991</v>
      </c>
      <c r="H24" t="s">
        <v>20</v>
      </c>
      <c r="J24">
        <v>8000</v>
      </c>
      <c r="K24">
        <v>-5991</v>
      </c>
      <c r="L24" t="s">
        <v>52</v>
      </c>
    </row>
    <row r="25" spans="1:12" x14ac:dyDescent="0.3">
      <c r="A25" s="2">
        <v>46046</v>
      </c>
      <c r="B25" s="3" t="s">
        <v>12</v>
      </c>
      <c r="C25" t="s">
        <v>41</v>
      </c>
      <c r="D25" t="s">
        <v>28</v>
      </c>
      <c r="E25" t="s">
        <v>23</v>
      </c>
      <c r="F25" t="s">
        <v>24</v>
      </c>
      <c r="G25">
        <v>376</v>
      </c>
      <c r="H25" t="s">
        <v>20</v>
      </c>
      <c r="J25">
        <v>2000</v>
      </c>
      <c r="K25">
        <v>1624</v>
      </c>
      <c r="L25" t="s">
        <v>51</v>
      </c>
    </row>
    <row r="26" spans="1:12" x14ac:dyDescent="0.3">
      <c r="A26" s="2">
        <v>46047</v>
      </c>
      <c r="B26" s="3" t="s">
        <v>12</v>
      </c>
      <c r="C26" t="s">
        <v>36</v>
      </c>
      <c r="D26" t="s">
        <v>41</v>
      </c>
      <c r="E26" t="s">
        <v>41</v>
      </c>
      <c r="F26" t="s">
        <v>15</v>
      </c>
      <c r="G26">
        <v>11380</v>
      </c>
      <c r="H26" t="s">
        <v>16</v>
      </c>
      <c r="J26">
        <v>0</v>
      </c>
      <c r="K26">
        <v>0</v>
      </c>
      <c r="L26" t="s">
        <v>53</v>
      </c>
    </row>
    <row r="27" spans="1:12" x14ac:dyDescent="0.3">
      <c r="A27" s="2">
        <v>46048</v>
      </c>
      <c r="B27" s="3" t="s">
        <v>12</v>
      </c>
      <c r="C27" t="s">
        <v>41</v>
      </c>
      <c r="D27" t="s">
        <v>22</v>
      </c>
      <c r="E27" t="s">
        <v>23</v>
      </c>
      <c r="F27" t="s">
        <v>24</v>
      </c>
      <c r="G27">
        <v>731</v>
      </c>
      <c r="H27" t="s">
        <v>20</v>
      </c>
      <c r="J27">
        <v>5000</v>
      </c>
      <c r="K27">
        <v>4269</v>
      </c>
      <c r="L27" t="s">
        <v>47</v>
      </c>
    </row>
    <row r="28" spans="1:12" x14ac:dyDescent="0.3">
      <c r="A28" s="2">
        <v>46049</v>
      </c>
      <c r="B28" s="3" t="s">
        <v>12</v>
      </c>
      <c r="C28" t="s">
        <v>41</v>
      </c>
      <c r="D28" t="s">
        <v>28</v>
      </c>
      <c r="E28" t="s">
        <v>23</v>
      </c>
      <c r="F28" t="s">
        <v>24</v>
      </c>
      <c r="G28">
        <v>650</v>
      </c>
      <c r="H28" t="s">
        <v>20</v>
      </c>
      <c r="J28">
        <v>2000</v>
      </c>
      <c r="K28">
        <v>1350</v>
      </c>
      <c r="L28" t="s">
        <v>51</v>
      </c>
    </row>
    <row r="29" spans="1:12" x14ac:dyDescent="0.3">
      <c r="A29" s="2">
        <v>46050</v>
      </c>
      <c r="B29" s="3" t="s">
        <v>12</v>
      </c>
      <c r="C29" t="s">
        <v>41</v>
      </c>
      <c r="D29" t="s">
        <v>18</v>
      </c>
      <c r="E29" t="s">
        <v>19</v>
      </c>
      <c r="F29" t="s">
        <v>15</v>
      </c>
      <c r="G29">
        <v>18323</v>
      </c>
      <c r="H29" t="s">
        <v>20</v>
      </c>
      <c r="J29">
        <v>15000</v>
      </c>
      <c r="K29">
        <v>-3323</v>
      </c>
      <c r="L29" t="s">
        <v>21</v>
      </c>
    </row>
    <row r="30" spans="1:12" x14ac:dyDescent="0.3">
      <c r="A30" s="2">
        <v>46051</v>
      </c>
      <c r="B30" s="3" t="s">
        <v>12</v>
      </c>
      <c r="C30" t="s">
        <v>42</v>
      </c>
      <c r="D30" t="s">
        <v>41</v>
      </c>
      <c r="E30" t="s">
        <v>41</v>
      </c>
      <c r="F30" t="s">
        <v>15</v>
      </c>
      <c r="G30">
        <v>7360</v>
      </c>
      <c r="H30" t="s">
        <v>16</v>
      </c>
      <c r="J30">
        <v>0</v>
      </c>
      <c r="K30">
        <v>0</v>
      </c>
      <c r="L30" t="s">
        <v>54</v>
      </c>
    </row>
    <row r="31" spans="1:12" x14ac:dyDescent="0.3">
      <c r="A31" s="2">
        <v>46052</v>
      </c>
      <c r="B31" s="3" t="s">
        <v>12</v>
      </c>
      <c r="C31" t="s">
        <v>41</v>
      </c>
      <c r="D31" t="s">
        <v>18</v>
      </c>
      <c r="E31" t="s">
        <v>19</v>
      </c>
      <c r="F31" t="s">
        <v>15</v>
      </c>
      <c r="G31">
        <v>18696</v>
      </c>
      <c r="H31" t="s">
        <v>20</v>
      </c>
      <c r="J31">
        <v>15000</v>
      </c>
      <c r="K31">
        <v>-3696</v>
      </c>
      <c r="L31" t="s">
        <v>21</v>
      </c>
    </row>
    <row r="32" spans="1:12" x14ac:dyDescent="0.3">
      <c r="A32" s="2">
        <v>46053</v>
      </c>
      <c r="B32" s="3" t="s">
        <v>12</v>
      </c>
      <c r="C32" t="s">
        <v>41</v>
      </c>
      <c r="D32" t="s">
        <v>18</v>
      </c>
      <c r="E32" t="s">
        <v>19</v>
      </c>
      <c r="F32" t="s">
        <v>15</v>
      </c>
      <c r="G32">
        <v>16355</v>
      </c>
      <c r="H32" t="s">
        <v>20</v>
      </c>
      <c r="J32">
        <v>15000</v>
      </c>
      <c r="K32">
        <v>-1355</v>
      </c>
      <c r="L32" t="s">
        <v>21</v>
      </c>
    </row>
    <row r="33" spans="1:12" x14ac:dyDescent="0.3">
      <c r="A33" s="2">
        <v>46054</v>
      </c>
      <c r="B33" s="3" t="s">
        <v>44</v>
      </c>
      <c r="C33" t="s">
        <v>41</v>
      </c>
      <c r="D33" t="s">
        <v>18</v>
      </c>
      <c r="E33" t="s">
        <v>19</v>
      </c>
      <c r="F33" t="s">
        <v>15</v>
      </c>
      <c r="G33">
        <v>19271</v>
      </c>
      <c r="H33" t="s">
        <v>20</v>
      </c>
      <c r="J33">
        <v>15000</v>
      </c>
      <c r="K33">
        <v>-4271</v>
      </c>
      <c r="L33" t="s">
        <v>21</v>
      </c>
    </row>
    <row r="34" spans="1:12" x14ac:dyDescent="0.3">
      <c r="A34" s="2">
        <v>46055</v>
      </c>
      <c r="B34" s="3" t="s">
        <v>44</v>
      </c>
      <c r="C34" t="s">
        <v>26</v>
      </c>
      <c r="D34" t="s">
        <v>41</v>
      </c>
      <c r="E34" t="s">
        <v>41</v>
      </c>
      <c r="F34" t="s">
        <v>15</v>
      </c>
      <c r="G34">
        <v>7332</v>
      </c>
      <c r="H34" t="s">
        <v>16</v>
      </c>
      <c r="J34">
        <v>0</v>
      </c>
      <c r="K34">
        <v>0</v>
      </c>
      <c r="L34" t="s">
        <v>50</v>
      </c>
    </row>
    <row r="35" spans="1:12" x14ac:dyDescent="0.3">
      <c r="A35" s="2">
        <v>46056</v>
      </c>
      <c r="B35" s="3" t="s">
        <v>44</v>
      </c>
      <c r="C35" t="s">
        <v>41</v>
      </c>
      <c r="D35" t="s">
        <v>39</v>
      </c>
      <c r="E35" t="s">
        <v>23</v>
      </c>
      <c r="F35" t="s">
        <v>24</v>
      </c>
      <c r="G35">
        <v>580</v>
      </c>
      <c r="H35" t="s">
        <v>20</v>
      </c>
      <c r="J35">
        <v>2000</v>
      </c>
      <c r="K35">
        <v>1420</v>
      </c>
      <c r="L35" t="s">
        <v>49</v>
      </c>
    </row>
    <row r="36" spans="1:12" x14ac:dyDescent="0.3">
      <c r="A36" s="2">
        <v>46057</v>
      </c>
      <c r="B36" s="3" t="s">
        <v>44</v>
      </c>
      <c r="C36" t="s">
        <v>41</v>
      </c>
      <c r="D36" t="s">
        <v>22</v>
      </c>
      <c r="E36" t="s">
        <v>23</v>
      </c>
      <c r="F36" t="s">
        <v>24</v>
      </c>
      <c r="G36">
        <v>464</v>
      </c>
      <c r="H36" t="s">
        <v>20</v>
      </c>
      <c r="J36">
        <v>5000</v>
      </c>
      <c r="K36">
        <v>4536</v>
      </c>
      <c r="L36" t="s">
        <v>47</v>
      </c>
    </row>
    <row r="37" spans="1:12" x14ac:dyDescent="0.3">
      <c r="A37" s="2">
        <v>46058</v>
      </c>
      <c r="B37" s="3" t="s">
        <v>44</v>
      </c>
      <c r="C37" t="s">
        <v>41</v>
      </c>
      <c r="D37" t="s">
        <v>22</v>
      </c>
      <c r="E37" t="s">
        <v>23</v>
      </c>
      <c r="F37" t="s">
        <v>29</v>
      </c>
      <c r="G37">
        <v>352</v>
      </c>
      <c r="H37" t="s">
        <v>20</v>
      </c>
      <c r="J37">
        <v>5000</v>
      </c>
      <c r="K37">
        <v>4648</v>
      </c>
      <c r="L37" t="s">
        <v>47</v>
      </c>
    </row>
    <row r="38" spans="1:12" x14ac:dyDescent="0.3">
      <c r="A38" s="2">
        <v>46059</v>
      </c>
      <c r="B38" s="3" t="s">
        <v>44</v>
      </c>
      <c r="C38" t="s">
        <v>26</v>
      </c>
      <c r="D38" t="s">
        <v>41</v>
      </c>
      <c r="E38" t="s">
        <v>41</v>
      </c>
      <c r="F38" t="s">
        <v>15</v>
      </c>
      <c r="G38">
        <v>7274</v>
      </c>
      <c r="H38" t="s">
        <v>16</v>
      </c>
      <c r="J38">
        <v>0</v>
      </c>
      <c r="K38">
        <v>0</v>
      </c>
      <c r="L38" t="s">
        <v>50</v>
      </c>
    </row>
    <row r="39" spans="1:12" x14ac:dyDescent="0.3">
      <c r="A39" s="2">
        <v>46060</v>
      </c>
      <c r="B39" s="3" t="s">
        <v>44</v>
      </c>
      <c r="C39" t="s">
        <v>41</v>
      </c>
      <c r="D39" t="s">
        <v>28</v>
      </c>
      <c r="E39" t="s">
        <v>23</v>
      </c>
      <c r="F39" t="s">
        <v>24</v>
      </c>
      <c r="G39">
        <v>281</v>
      </c>
      <c r="H39" t="s">
        <v>20</v>
      </c>
      <c r="J39">
        <v>2000</v>
      </c>
      <c r="K39">
        <v>1719</v>
      </c>
      <c r="L39" t="s">
        <v>51</v>
      </c>
    </row>
    <row r="40" spans="1:12" x14ac:dyDescent="0.3">
      <c r="A40" s="2">
        <v>46061</v>
      </c>
      <c r="B40" s="3" t="s">
        <v>44</v>
      </c>
      <c r="C40" t="s">
        <v>41</v>
      </c>
      <c r="D40" t="s">
        <v>22</v>
      </c>
      <c r="E40" t="s">
        <v>23</v>
      </c>
      <c r="F40" t="s">
        <v>24</v>
      </c>
      <c r="G40">
        <v>202</v>
      </c>
      <c r="H40" t="s">
        <v>20</v>
      </c>
      <c r="J40">
        <v>5000</v>
      </c>
      <c r="K40">
        <v>4798</v>
      </c>
      <c r="L40" t="s">
        <v>47</v>
      </c>
    </row>
    <row r="41" spans="1:12" x14ac:dyDescent="0.3">
      <c r="A41" s="2">
        <v>46062</v>
      </c>
      <c r="B41" s="3" t="s">
        <v>44</v>
      </c>
      <c r="C41" t="s">
        <v>41</v>
      </c>
      <c r="D41" t="s">
        <v>28</v>
      </c>
      <c r="E41" t="s">
        <v>23</v>
      </c>
      <c r="F41" t="s">
        <v>24</v>
      </c>
      <c r="G41">
        <v>456</v>
      </c>
      <c r="H41" t="s">
        <v>20</v>
      </c>
      <c r="J41">
        <v>2000</v>
      </c>
      <c r="K41">
        <v>1544</v>
      </c>
      <c r="L41" t="s">
        <v>51</v>
      </c>
    </row>
    <row r="42" spans="1:12" x14ac:dyDescent="0.3">
      <c r="A42" s="2">
        <v>46063</v>
      </c>
      <c r="B42" s="3" t="s">
        <v>44</v>
      </c>
      <c r="C42" t="s">
        <v>42</v>
      </c>
      <c r="D42" t="s">
        <v>41</v>
      </c>
      <c r="E42" t="s">
        <v>41</v>
      </c>
      <c r="F42" t="s">
        <v>15</v>
      </c>
      <c r="G42">
        <v>8236</v>
      </c>
      <c r="H42" t="s">
        <v>16</v>
      </c>
      <c r="J42">
        <v>0</v>
      </c>
      <c r="K42">
        <v>0</v>
      </c>
      <c r="L42" t="s">
        <v>54</v>
      </c>
    </row>
    <row r="43" spans="1:12" x14ac:dyDescent="0.3">
      <c r="A43" s="2">
        <v>46064</v>
      </c>
      <c r="B43" s="3" t="s">
        <v>44</v>
      </c>
      <c r="C43" t="s">
        <v>41</v>
      </c>
      <c r="D43" t="s">
        <v>31</v>
      </c>
      <c r="E43" t="s">
        <v>23</v>
      </c>
      <c r="F43" t="s">
        <v>32</v>
      </c>
      <c r="G43">
        <v>2559</v>
      </c>
      <c r="H43" t="s">
        <v>20</v>
      </c>
      <c r="J43">
        <v>5000</v>
      </c>
      <c r="K43">
        <v>2441</v>
      </c>
      <c r="L43" t="s">
        <v>48</v>
      </c>
    </row>
    <row r="44" spans="1:12" x14ac:dyDescent="0.3">
      <c r="A44" s="2">
        <v>46065</v>
      </c>
      <c r="B44" s="3" t="s">
        <v>44</v>
      </c>
      <c r="C44" t="s">
        <v>41</v>
      </c>
      <c r="D44" t="s">
        <v>18</v>
      </c>
      <c r="E44" t="s">
        <v>19</v>
      </c>
      <c r="F44" t="s">
        <v>15</v>
      </c>
      <c r="G44">
        <v>12502</v>
      </c>
      <c r="H44" t="s">
        <v>20</v>
      </c>
      <c r="J44">
        <v>15000</v>
      </c>
      <c r="K44">
        <v>2498</v>
      </c>
      <c r="L44" t="s">
        <v>21</v>
      </c>
    </row>
    <row r="45" spans="1:12" x14ac:dyDescent="0.3">
      <c r="A45" s="2">
        <v>46066</v>
      </c>
      <c r="B45" s="3" t="s">
        <v>44</v>
      </c>
      <c r="C45" t="s">
        <v>41</v>
      </c>
      <c r="D45" t="s">
        <v>18</v>
      </c>
      <c r="E45" t="s">
        <v>19</v>
      </c>
      <c r="F45" t="s">
        <v>15</v>
      </c>
      <c r="G45">
        <v>15328</v>
      </c>
      <c r="H45" t="s">
        <v>20</v>
      </c>
      <c r="J45">
        <v>15000</v>
      </c>
      <c r="K45">
        <v>-328</v>
      </c>
      <c r="L45" t="s">
        <v>21</v>
      </c>
    </row>
    <row r="46" spans="1:12" x14ac:dyDescent="0.3">
      <c r="A46" s="2">
        <v>46067</v>
      </c>
      <c r="B46" s="3" t="s">
        <v>44</v>
      </c>
      <c r="C46" t="s">
        <v>26</v>
      </c>
      <c r="D46" t="s">
        <v>41</v>
      </c>
      <c r="E46" t="s">
        <v>41</v>
      </c>
      <c r="F46" t="s">
        <v>15</v>
      </c>
      <c r="G46">
        <v>11972</v>
      </c>
      <c r="H46" t="s">
        <v>16</v>
      </c>
      <c r="J46">
        <v>0</v>
      </c>
      <c r="K46">
        <v>0</v>
      </c>
      <c r="L46" t="s">
        <v>50</v>
      </c>
    </row>
    <row r="47" spans="1:12" x14ac:dyDescent="0.3">
      <c r="A47" s="2">
        <v>46068</v>
      </c>
      <c r="B47" s="3" t="s">
        <v>44</v>
      </c>
      <c r="C47" t="s">
        <v>41</v>
      </c>
      <c r="D47" t="s">
        <v>18</v>
      </c>
      <c r="E47" t="s">
        <v>19</v>
      </c>
      <c r="F47" t="s">
        <v>15</v>
      </c>
      <c r="G47">
        <v>15957</v>
      </c>
      <c r="H47" t="s">
        <v>20</v>
      </c>
      <c r="J47">
        <v>15000</v>
      </c>
      <c r="K47">
        <v>-957</v>
      </c>
      <c r="L47" t="s">
        <v>21</v>
      </c>
    </row>
    <row r="48" spans="1:12" x14ac:dyDescent="0.3">
      <c r="A48" s="2">
        <v>46069</v>
      </c>
      <c r="B48" s="3" t="s">
        <v>44</v>
      </c>
      <c r="C48" t="s">
        <v>41</v>
      </c>
      <c r="D48" t="s">
        <v>34</v>
      </c>
      <c r="E48" t="s">
        <v>19</v>
      </c>
      <c r="F48" t="s">
        <v>15</v>
      </c>
      <c r="G48">
        <v>13876</v>
      </c>
      <c r="H48" t="s">
        <v>20</v>
      </c>
      <c r="J48">
        <v>8000</v>
      </c>
      <c r="K48">
        <v>-5876</v>
      </c>
      <c r="L48" t="s">
        <v>52</v>
      </c>
    </row>
    <row r="49" spans="1:12" x14ac:dyDescent="0.3">
      <c r="A49" s="2">
        <v>46070</v>
      </c>
      <c r="B49" s="3" t="s">
        <v>44</v>
      </c>
      <c r="C49" t="s">
        <v>41</v>
      </c>
      <c r="D49" t="s">
        <v>28</v>
      </c>
      <c r="E49" t="s">
        <v>23</v>
      </c>
      <c r="F49" t="s">
        <v>24</v>
      </c>
      <c r="G49">
        <v>622</v>
      </c>
      <c r="H49" t="s">
        <v>20</v>
      </c>
      <c r="J49">
        <v>2000</v>
      </c>
      <c r="K49">
        <v>1378</v>
      </c>
      <c r="L49" t="s">
        <v>51</v>
      </c>
    </row>
    <row r="50" spans="1:12" x14ac:dyDescent="0.3">
      <c r="A50" s="2">
        <v>46071</v>
      </c>
      <c r="B50" s="3" t="s">
        <v>44</v>
      </c>
      <c r="C50" t="s">
        <v>13</v>
      </c>
      <c r="D50" t="s">
        <v>41</v>
      </c>
      <c r="E50" t="s">
        <v>41</v>
      </c>
      <c r="F50" t="s">
        <v>15</v>
      </c>
      <c r="G50">
        <v>32650</v>
      </c>
      <c r="H50" t="s">
        <v>16</v>
      </c>
      <c r="J50">
        <v>0</v>
      </c>
      <c r="K50">
        <v>0</v>
      </c>
      <c r="L50" t="s">
        <v>17</v>
      </c>
    </row>
    <row r="51" spans="1:12" x14ac:dyDescent="0.3">
      <c r="A51" s="2">
        <v>46072</v>
      </c>
      <c r="B51" s="3" t="s">
        <v>44</v>
      </c>
      <c r="C51" t="s">
        <v>41</v>
      </c>
      <c r="D51" t="s">
        <v>18</v>
      </c>
      <c r="E51" t="s">
        <v>19</v>
      </c>
      <c r="F51" t="s">
        <v>15</v>
      </c>
      <c r="G51">
        <v>14833</v>
      </c>
      <c r="H51" t="s">
        <v>20</v>
      </c>
      <c r="J51">
        <v>15000</v>
      </c>
      <c r="K51">
        <v>167</v>
      </c>
      <c r="L51" t="s">
        <v>21</v>
      </c>
    </row>
    <row r="52" spans="1:12" x14ac:dyDescent="0.3">
      <c r="A52" s="2">
        <v>46073</v>
      </c>
      <c r="B52" s="3" t="s">
        <v>44</v>
      </c>
      <c r="C52" t="s">
        <v>41</v>
      </c>
      <c r="D52" t="s">
        <v>28</v>
      </c>
      <c r="E52" t="s">
        <v>23</v>
      </c>
      <c r="F52" t="s">
        <v>29</v>
      </c>
      <c r="G52">
        <v>327</v>
      </c>
      <c r="H52" t="s">
        <v>20</v>
      </c>
      <c r="J52">
        <v>2000</v>
      </c>
      <c r="K52">
        <v>1673</v>
      </c>
      <c r="L52" t="s">
        <v>51</v>
      </c>
    </row>
    <row r="53" spans="1:12" x14ac:dyDescent="0.3">
      <c r="A53" s="2">
        <v>46074</v>
      </c>
      <c r="B53" s="3" t="s">
        <v>44</v>
      </c>
      <c r="C53" t="s">
        <v>41</v>
      </c>
      <c r="D53" t="s">
        <v>22</v>
      </c>
      <c r="E53" t="s">
        <v>23</v>
      </c>
      <c r="F53" t="s">
        <v>24</v>
      </c>
      <c r="G53">
        <v>417</v>
      </c>
      <c r="H53" t="s">
        <v>20</v>
      </c>
      <c r="J53">
        <v>5000</v>
      </c>
      <c r="K53">
        <v>4583</v>
      </c>
      <c r="L53" t="s">
        <v>47</v>
      </c>
    </row>
    <row r="54" spans="1:12" x14ac:dyDescent="0.3">
      <c r="A54" s="2">
        <v>46075</v>
      </c>
      <c r="B54" s="3" t="s">
        <v>44</v>
      </c>
      <c r="C54" t="s">
        <v>42</v>
      </c>
      <c r="D54" t="s">
        <v>41</v>
      </c>
      <c r="E54" t="s">
        <v>41</v>
      </c>
      <c r="F54" t="s">
        <v>15</v>
      </c>
      <c r="G54">
        <v>9538</v>
      </c>
      <c r="H54" t="s">
        <v>16</v>
      </c>
      <c r="J54">
        <v>0</v>
      </c>
      <c r="K54">
        <v>0</v>
      </c>
      <c r="L54" t="s">
        <v>54</v>
      </c>
    </row>
    <row r="55" spans="1:12" x14ac:dyDescent="0.3">
      <c r="A55" s="2">
        <v>46076</v>
      </c>
      <c r="B55" s="3" t="s">
        <v>44</v>
      </c>
      <c r="C55" t="s">
        <v>41</v>
      </c>
      <c r="D55" t="s">
        <v>31</v>
      </c>
      <c r="E55" t="s">
        <v>23</v>
      </c>
      <c r="F55" t="s">
        <v>32</v>
      </c>
      <c r="G55">
        <v>2610</v>
      </c>
      <c r="H55" t="s">
        <v>20</v>
      </c>
      <c r="J55">
        <v>5000</v>
      </c>
      <c r="K55">
        <v>2390</v>
      </c>
      <c r="L55" t="s">
        <v>48</v>
      </c>
    </row>
    <row r="56" spans="1:12" x14ac:dyDescent="0.3">
      <c r="A56" s="2">
        <v>46077</v>
      </c>
      <c r="B56" s="3" t="s">
        <v>44</v>
      </c>
      <c r="C56" t="s">
        <v>41</v>
      </c>
      <c r="D56" t="s">
        <v>28</v>
      </c>
      <c r="E56" t="s">
        <v>23</v>
      </c>
      <c r="F56" t="s">
        <v>29</v>
      </c>
      <c r="G56">
        <v>461</v>
      </c>
      <c r="H56" t="s">
        <v>20</v>
      </c>
      <c r="J56">
        <v>2000</v>
      </c>
      <c r="K56">
        <v>1539</v>
      </c>
      <c r="L56" t="s">
        <v>51</v>
      </c>
    </row>
    <row r="57" spans="1:12" x14ac:dyDescent="0.3">
      <c r="A57" s="2">
        <v>46078</v>
      </c>
      <c r="B57" s="3" t="s">
        <v>44</v>
      </c>
      <c r="C57" t="s">
        <v>41</v>
      </c>
      <c r="D57" t="s">
        <v>39</v>
      </c>
      <c r="E57" t="s">
        <v>23</v>
      </c>
      <c r="F57" t="s">
        <v>24</v>
      </c>
      <c r="G57">
        <v>1299</v>
      </c>
      <c r="H57" t="s">
        <v>20</v>
      </c>
      <c r="J57">
        <v>2000</v>
      </c>
      <c r="K57">
        <v>701</v>
      </c>
      <c r="L57" t="s">
        <v>49</v>
      </c>
    </row>
    <row r="58" spans="1:12" x14ac:dyDescent="0.3">
      <c r="A58" s="2">
        <v>46079</v>
      </c>
      <c r="B58" s="3" t="s">
        <v>44</v>
      </c>
      <c r="C58" t="s">
        <v>13</v>
      </c>
      <c r="D58" t="s">
        <v>41</v>
      </c>
      <c r="E58" t="s">
        <v>41</v>
      </c>
      <c r="F58" t="s">
        <v>15</v>
      </c>
      <c r="G58">
        <v>43212</v>
      </c>
      <c r="H58" t="s">
        <v>16</v>
      </c>
      <c r="J58">
        <v>0</v>
      </c>
      <c r="K58">
        <v>0</v>
      </c>
      <c r="L58" t="s">
        <v>17</v>
      </c>
    </row>
    <row r="59" spans="1:12" x14ac:dyDescent="0.3">
      <c r="A59" s="2">
        <v>46080</v>
      </c>
      <c r="B59" s="3" t="s">
        <v>44</v>
      </c>
      <c r="C59" t="s">
        <v>41</v>
      </c>
      <c r="D59" t="s">
        <v>39</v>
      </c>
      <c r="E59" t="s">
        <v>23</v>
      </c>
      <c r="F59" t="s">
        <v>24</v>
      </c>
      <c r="G59">
        <v>1577</v>
      </c>
      <c r="H59" t="s">
        <v>20</v>
      </c>
      <c r="J59">
        <v>2000</v>
      </c>
      <c r="K59">
        <v>423</v>
      </c>
      <c r="L59" t="s">
        <v>49</v>
      </c>
    </row>
    <row r="60" spans="1:12" x14ac:dyDescent="0.3">
      <c r="A60" s="2">
        <v>46081</v>
      </c>
      <c r="B60" s="3" t="s">
        <v>44</v>
      </c>
      <c r="C60" t="s">
        <v>41</v>
      </c>
      <c r="D60" t="s">
        <v>22</v>
      </c>
      <c r="E60" t="s">
        <v>23</v>
      </c>
      <c r="F60" t="s">
        <v>29</v>
      </c>
      <c r="G60">
        <v>965</v>
      </c>
      <c r="H60" t="s">
        <v>20</v>
      </c>
      <c r="J60">
        <v>5000</v>
      </c>
      <c r="K60">
        <v>4035</v>
      </c>
      <c r="L60" t="s">
        <v>47</v>
      </c>
    </row>
    <row r="61" spans="1:12" x14ac:dyDescent="0.3">
      <c r="A61" s="2">
        <v>46082</v>
      </c>
      <c r="B61" s="3" t="s">
        <v>45</v>
      </c>
      <c r="C61" t="s">
        <v>41</v>
      </c>
      <c r="D61" t="s">
        <v>28</v>
      </c>
      <c r="E61" t="s">
        <v>23</v>
      </c>
      <c r="F61" t="s">
        <v>24</v>
      </c>
      <c r="G61">
        <v>532</v>
      </c>
      <c r="H61" t="s">
        <v>20</v>
      </c>
      <c r="J61">
        <v>2000</v>
      </c>
      <c r="K61">
        <v>1468</v>
      </c>
      <c r="L61" t="s">
        <v>51</v>
      </c>
    </row>
    <row r="62" spans="1:12" x14ac:dyDescent="0.3">
      <c r="A62" s="2">
        <v>46083</v>
      </c>
      <c r="B62" s="3" t="s">
        <v>45</v>
      </c>
      <c r="C62" t="s">
        <v>42</v>
      </c>
      <c r="D62" t="s">
        <v>41</v>
      </c>
      <c r="E62" t="s">
        <v>41</v>
      </c>
      <c r="F62" t="s">
        <v>15</v>
      </c>
      <c r="G62">
        <v>6263</v>
      </c>
      <c r="H62" t="s">
        <v>16</v>
      </c>
      <c r="J62">
        <v>0</v>
      </c>
      <c r="K62">
        <v>0</v>
      </c>
      <c r="L62" t="s">
        <v>54</v>
      </c>
    </row>
    <row r="63" spans="1:12" x14ac:dyDescent="0.3">
      <c r="A63" s="2">
        <v>46084</v>
      </c>
      <c r="B63" s="3" t="s">
        <v>45</v>
      </c>
      <c r="C63" t="s">
        <v>41</v>
      </c>
      <c r="D63" t="s">
        <v>31</v>
      </c>
      <c r="E63" t="s">
        <v>23</v>
      </c>
      <c r="F63" t="s">
        <v>32</v>
      </c>
      <c r="G63">
        <v>2638</v>
      </c>
      <c r="H63" t="s">
        <v>20</v>
      </c>
      <c r="J63">
        <v>5000</v>
      </c>
      <c r="K63">
        <v>2362</v>
      </c>
      <c r="L63" t="s">
        <v>48</v>
      </c>
    </row>
    <row r="64" spans="1:12" x14ac:dyDescent="0.3">
      <c r="A64" s="2">
        <v>46085</v>
      </c>
      <c r="B64" s="3" t="s">
        <v>45</v>
      </c>
      <c r="C64" t="s">
        <v>41</v>
      </c>
      <c r="D64" t="s">
        <v>28</v>
      </c>
      <c r="E64" t="s">
        <v>23</v>
      </c>
      <c r="F64" t="s">
        <v>24</v>
      </c>
      <c r="G64">
        <v>376</v>
      </c>
      <c r="H64" t="s">
        <v>20</v>
      </c>
      <c r="J64">
        <v>2000</v>
      </c>
      <c r="K64">
        <v>1624</v>
      </c>
      <c r="L64" t="s">
        <v>51</v>
      </c>
    </row>
    <row r="65" spans="1:12" x14ac:dyDescent="0.3">
      <c r="A65" s="2">
        <v>46086</v>
      </c>
      <c r="B65" s="3" t="s">
        <v>45</v>
      </c>
      <c r="C65" t="s">
        <v>41</v>
      </c>
      <c r="D65" t="s">
        <v>39</v>
      </c>
      <c r="E65" t="s">
        <v>23</v>
      </c>
      <c r="F65" t="s">
        <v>24</v>
      </c>
      <c r="G65">
        <v>310</v>
      </c>
      <c r="H65" t="s">
        <v>20</v>
      </c>
      <c r="J65">
        <v>2000</v>
      </c>
      <c r="K65">
        <v>1690</v>
      </c>
      <c r="L65" t="s">
        <v>49</v>
      </c>
    </row>
    <row r="66" spans="1:12" x14ac:dyDescent="0.3">
      <c r="A66" s="2">
        <v>46087</v>
      </c>
      <c r="B66" s="3" t="s">
        <v>45</v>
      </c>
      <c r="C66" t="s">
        <v>36</v>
      </c>
      <c r="D66" t="s">
        <v>41</v>
      </c>
      <c r="E66" t="s">
        <v>41</v>
      </c>
      <c r="F66" t="s">
        <v>15</v>
      </c>
      <c r="G66">
        <v>11098</v>
      </c>
      <c r="H66" t="s">
        <v>16</v>
      </c>
      <c r="J66">
        <v>0</v>
      </c>
      <c r="K66">
        <v>0</v>
      </c>
      <c r="L66" t="s">
        <v>53</v>
      </c>
    </row>
    <row r="67" spans="1:12" x14ac:dyDescent="0.3">
      <c r="A67" s="2">
        <v>46088</v>
      </c>
      <c r="B67" s="3" t="s">
        <v>45</v>
      </c>
      <c r="C67" t="s">
        <v>41</v>
      </c>
      <c r="D67" t="s">
        <v>28</v>
      </c>
      <c r="E67" t="s">
        <v>23</v>
      </c>
      <c r="F67" t="s">
        <v>24</v>
      </c>
      <c r="G67">
        <v>536</v>
      </c>
      <c r="H67" t="s">
        <v>20</v>
      </c>
      <c r="J67">
        <v>2000</v>
      </c>
      <c r="K67">
        <v>1464</v>
      </c>
      <c r="L67" t="s">
        <v>51</v>
      </c>
    </row>
    <row r="68" spans="1:12" x14ac:dyDescent="0.3">
      <c r="A68" s="2">
        <v>46089</v>
      </c>
      <c r="B68" s="3" t="s">
        <v>45</v>
      </c>
      <c r="C68" t="s">
        <v>41</v>
      </c>
      <c r="D68" t="s">
        <v>28</v>
      </c>
      <c r="E68" t="s">
        <v>23</v>
      </c>
      <c r="F68" t="s">
        <v>29</v>
      </c>
      <c r="G68">
        <v>409</v>
      </c>
      <c r="H68" t="s">
        <v>20</v>
      </c>
      <c r="J68">
        <v>2000</v>
      </c>
      <c r="K68">
        <v>1591</v>
      </c>
      <c r="L68" t="s">
        <v>51</v>
      </c>
    </row>
    <row r="69" spans="1:12" x14ac:dyDescent="0.3">
      <c r="A69" s="2">
        <v>46090</v>
      </c>
      <c r="B69" s="3" t="s">
        <v>45</v>
      </c>
      <c r="C69" t="s">
        <v>41</v>
      </c>
      <c r="D69" t="s">
        <v>22</v>
      </c>
      <c r="E69" t="s">
        <v>23</v>
      </c>
      <c r="F69" t="s">
        <v>29</v>
      </c>
      <c r="G69">
        <v>367</v>
      </c>
      <c r="H69" t="s">
        <v>20</v>
      </c>
      <c r="J69">
        <v>5000</v>
      </c>
      <c r="K69">
        <v>4633</v>
      </c>
      <c r="L69" t="s">
        <v>47</v>
      </c>
    </row>
    <row r="70" spans="1:12" x14ac:dyDescent="0.3">
      <c r="A70" s="2">
        <v>46091</v>
      </c>
      <c r="B70" s="3" t="s">
        <v>45</v>
      </c>
      <c r="C70" t="s">
        <v>26</v>
      </c>
      <c r="D70" t="s">
        <v>41</v>
      </c>
      <c r="E70" t="s">
        <v>41</v>
      </c>
      <c r="F70" t="s">
        <v>15</v>
      </c>
      <c r="G70">
        <v>2233</v>
      </c>
      <c r="H70" t="s">
        <v>16</v>
      </c>
      <c r="J70">
        <v>0</v>
      </c>
      <c r="K70">
        <v>0</v>
      </c>
      <c r="L70" t="s">
        <v>50</v>
      </c>
    </row>
    <row r="71" spans="1:12" x14ac:dyDescent="0.3">
      <c r="A71" s="2">
        <v>46092</v>
      </c>
      <c r="B71" s="3" t="s">
        <v>45</v>
      </c>
      <c r="C71" t="s">
        <v>41</v>
      </c>
      <c r="D71" t="s">
        <v>31</v>
      </c>
      <c r="E71" t="s">
        <v>23</v>
      </c>
      <c r="F71" t="s">
        <v>32</v>
      </c>
      <c r="G71">
        <v>4541</v>
      </c>
      <c r="H71" t="s">
        <v>20</v>
      </c>
      <c r="J71">
        <v>5000</v>
      </c>
      <c r="K71">
        <v>459</v>
      </c>
      <c r="L71" t="s">
        <v>48</v>
      </c>
    </row>
    <row r="72" spans="1:12" x14ac:dyDescent="0.3">
      <c r="A72" s="2">
        <v>46093</v>
      </c>
      <c r="B72" s="3" t="s">
        <v>45</v>
      </c>
      <c r="C72" t="s">
        <v>41</v>
      </c>
      <c r="D72" t="s">
        <v>34</v>
      </c>
      <c r="E72" t="s">
        <v>19</v>
      </c>
      <c r="F72" t="s">
        <v>15</v>
      </c>
      <c r="G72">
        <v>5702</v>
      </c>
      <c r="H72" t="s">
        <v>20</v>
      </c>
      <c r="J72">
        <v>8000</v>
      </c>
      <c r="K72">
        <v>2298</v>
      </c>
      <c r="L72" t="s">
        <v>52</v>
      </c>
    </row>
    <row r="73" spans="1:12" x14ac:dyDescent="0.3">
      <c r="A73" s="2">
        <v>46094</v>
      </c>
      <c r="B73" s="3" t="s">
        <v>45</v>
      </c>
      <c r="C73" t="s">
        <v>41</v>
      </c>
      <c r="D73" t="s">
        <v>28</v>
      </c>
      <c r="E73" t="s">
        <v>23</v>
      </c>
      <c r="F73" t="s">
        <v>29</v>
      </c>
      <c r="G73">
        <v>127</v>
      </c>
      <c r="H73" t="s">
        <v>20</v>
      </c>
      <c r="J73">
        <v>2000</v>
      </c>
      <c r="K73">
        <v>1873</v>
      </c>
      <c r="L73" t="s">
        <v>51</v>
      </c>
    </row>
    <row r="74" spans="1:12" x14ac:dyDescent="0.3">
      <c r="A74" s="2">
        <v>46095</v>
      </c>
      <c r="B74" s="3" t="s">
        <v>45</v>
      </c>
      <c r="C74" t="s">
        <v>42</v>
      </c>
      <c r="D74" t="s">
        <v>41</v>
      </c>
      <c r="E74" t="s">
        <v>41</v>
      </c>
      <c r="F74" t="s">
        <v>15</v>
      </c>
      <c r="G74">
        <v>1872</v>
      </c>
      <c r="H74" t="s">
        <v>16</v>
      </c>
      <c r="J74">
        <v>0</v>
      </c>
      <c r="K74">
        <v>0</v>
      </c>
      <c r="L74" t="s">
        <v>54</v>
      </c>
    </row>
    <row r="75" spans="1:12" x14ac:dyDescent="0.3">
      <c r="A75" s="2">
        <v>46096</v>
      </c>
      <c r="B75" s="3" t="s">
        <v>45</v>
      </c>
      <c r="C75" t="s">
        <v>41</v>
      </c>
      <c r="D75" t="s">
        <v>39</v>
      </c>
      <c r="E75" t="s">
        <v>23</v>
      </c>
      <c r="F75" t="s">
        <v>24</v>
      </c>
      <c r="G75">
        <v>1938</v>
      </c>
      <c r="H75" t="s">
        <v>20</v>
      </c>
      <c r="J75">
        <v>2000</v>
      </c>
      <c r="K75">
        <v>62</v>
      </c>
      <c r="L75" t="s">
        <v>49</v>
      </c>
    </row>
    <row r="76" spans="1:12" x14ac:dyDescent="0.3">
      <c r="A76" s="2">
        <v>46097</v>
      </c>
      <c r="B76" s="3" t="s">
        <v>45</v>
      </c>
      <c r="C76" t="s">
        <v>41</v>
      </c>
      <c r="D76" t="s">
        <v>22</v>
      </c>
      <c r="E76" t="s">
        <v>23</v>
      </c>
      <c r="F76" t="s">
        <v>24</v>
      </c>
      <c r="G76">
        <v>646</v>
      </c>
      <c r="H76" t="s">
        <v>20</v>
      </c>
      <c r="J76">
        <v>5000</v>
      </c>
      <c r="K76">
        <v>4354</v>
      </c>
      <c r="L76" t="s">
        <v>47</v>
      </c>
    </row>
    <row r="77" spans="1:12" x14ac:dyDescent="0.3">
      <c r="A77" s="2">
        <v>46098</v>
      </c>
      <c r="B77" s="3" t="s">
        <v>45</v>
      </c>
      <c r="C77" t="s">
        <v>41</v>
      </c>
      <c r="D77" t="s">
        <v>28</v>
      </c>
      <c r="E77" t="s">
        <v>23</v>
      </c>
      <c r="F77" t="s">
        <v>24</v>
      </c>
      <c r="G77">
        <v>328</v>
      </c>
      <c r="H77" t="s">
        <v>20</v>
      </c>
      <c r="J77">
        <v>2000</v>
      </c>
      <c r="K77">
        <v>1672</v>
      </c>
      <c r="L77" t="s">
        <v>51</v>
      </c>
    </row>
    <row r="78" spans="1:12" x14ac:dyDescent="0.3">
      <c r="A78" s="2">
        <v>46099</v>
      </c>
      <c r="B78" s="3" t="s">
        <v>45</v>
      </c>
      <c r="C78" t="s">
        <v>13</v>
      </c>
      <c r="D78" t="s">
        <v>41</v>
      </c>
      <c r="E78" t="s">
        <v>41</v>
      </c>
      <c r="F78" t="s">
        <v>15</v>
      </c>
      <c r="G78">
        <v>34375</v>
      </c>
      <c r="H78" t="s">
        <v>16</v>
      </c>
      <c r="J78">
        <v>0</v>
      </c>
      <c r="K78">
        <v>0</v>
      </c>
      <c r="L78" t="s">
        <v>17</v>
      </c>
    </row>
    <row r="79" spans="1:12" x14ac:dyDescent="0.3">
      <c r="A79" s="2">
        <v>46100</v>
      </c>
      <c r="B79" s="3" t="s">
        <v>45</v>
      </c>
      <c r="C79" t="s">
        <v>41</v>
      </c>
      <c r="D79" t="s">
        <v>22</v>
      </c>
      <c r="E79" t="s">
        <v>23</v>
      </c>
      <c r="F79" t="s">
        <v>29</v>
      </c>
      <c r="G79">
        <v>989</v>
      </c>
      <c r="H79" t="s">
        <v>20</v>
      </c>
      <c r="J79">
        <v>5000</v>
      </c>
      <c r="K79">
        <v>4011</v>
      </c>
      <c r="L79" t="s">
        <v>47</v>
      </c>
    </row>
    <row r="80" spans="1:12" x14ac:dyDescent="0.3">
      <c r="A80" s="2">
        <v>46101</v>
      </c>
      <c r="B80" s="3" t="s">
        <v>45</v>
      </c>
      <c r="C80" t="s">
        <v>41</v>
      </c>
      <c r="D80" t="s">
        <v>31</v>
      </c>
      <c r="E80" t="s">
        <v>23</v>
      </c>
      <c r="F80" t="s">
        <v>32</v>
      </c>
      <c r="G80">
        <v>3540</v>
      </c>
      <c r="H80" t="s">
        <v>20</v>
      </c>
      <c r="J80">
        <v>5000</v>
      </c>
      <c r="K80">
        <v>1460</v>
      </c>
      <c r="L80" t="s">
        <v>48</v>
      </c>
    </row>
    <row r="81" spans="1:12" x14ac:dyDescent="0.3">
      <c r="A81" s="2">
        <v>46102</v>
      </c>
      <c r="B81" s="3" t="s">
        <v>45</v>
      </c>
      <c r="C81" t="s">
        <v>41</v>
      </c>
      <c r="D81" t="s">
        <v>31</v>
      </c>
      <c r="E81" t="s">
        <v>23</v>
      </c>
      <c r="F81" t="s">
        <v>32</v>
      </c>
      <c r="G81">
        <v>2870</v>
      </c>
      <c r="H81" t="s">
        <v>20</v>
      </c>
      <c r="J81">
        <v>5000</v>
      </c>
      <c r="K81">
        <v>2130</v>
      </c>
      <c r="L81" t="s">
        <v>48</v>
      </c>
    </row>
    <row r="82" spans="1:12" x14ac:dyDescent="0.3">
      <c r="A82" s="2">
        <v>46103</v>
      </c>
      <c r="B82" s="3" t="s">
        <v>45</v>
      </c>
      <c r="C82" t="s">
        <v>13</v>
      </c>
      <c r="D82" t="s">
        <v>41</v>
      </c>
      <c r="E82" t="s">
        <v>41</v>
      </c>
      <c r="F82" t="s">
        <v>15</v>
      </c>
      <c r="G82">
        <v>30633</v>
      </c>
      <c r="H82" t="s">
        <v>16</v>
      </c>
      <c r="J82">
        <v>0</v>
      </c>
      <c r="K82">
        <v>0</v>
      </c>
      <c r="L82" t="s">
        <v>17</v>
      </c>
    </row>
    <row r="83" spans="1:12" x14ac:dyDescent="0.3">
      <c r="A83" s="2">
        <v>46104</v>
      </c>
      <c r="B83" s="3" t="s">
        <v>45</v>
      </c>
      <c r="C83" t="s">
        <v>41</v>
      </c>
      <c r="D83" t="s">
        <v>31</v>
      </c>
      <c r="E83" t="s">
        <v>23</v>
      </c>
      <c r="F83" t="s">
        <v>32</v>
      </c>
      <c r="G83">
        <v>4159</v>
      </c>
      <c r="H83" t="s">
        <v>20</v>
      </c>
      <c r="J83">
        <v>5000</v>
      </c>
      <c r="K83">
        <v>841</v>
      </c>
      <c r="L83" t="s">
        <v>48</v>
      </c>
    </row>
    <row r="84" spans="1:12" x14ac:dyDescent="0.3">
      <c r="A84" s="2">
        <v>46105</v>
      </c>
      <c r="B84" s="3" t="s">
        <v>45</v>
      </c>
      <c r="C84" t="s">
        <v>41</v>
      </c>
      <c r="D84" t="s">
        <v>31</v>
      </c>
      <c r="E84" t="s">
        <v>23</v>
      </c>
      <c r="F84" t="s">
        <v>32</v>
      </c>
      <c r="G84">
        <v>1546</v>
      </c>
      <c r="H84" t="s">
        <v>20</v>
      </c>
      <c r="J84">
        <v>5000</v>
      </c>
      <c r="K84">
        <v>3454</v>
      </c>
      <c r="L84" t="s">
        <v>48</v>
      </c>
    </row>
    <row r="85" spans="1:12" x14ac:dyDescent="0.3">
      <c r="A85" s="2">
        <v>46106</v>
      </c>
      <c r="B85" s="3" t="s">
        <v>45</v>
      </c>
      <c r="C85" t="s">
        <v>41</v>
      </c>
      <c r="D85" t="s">
        <v>34</v>
      </c>
      <c r="E85" t="s">
        <v>19</v>
      </c>
      <c r="F85" t="s">
        <v>15</v>
      </c>
      <c r="G85">
        <v>7477</v>
      </c>
      <c r="H85" t="s">
        <v>20</v>
      </c>
      <c r="J85">
        <v>8000</v>
      </c>
      <c r="K85">
        <v>523</v>
      </c>
      <c r="L85" t="s">
        <v>52</v>
      </c>
    </row>
    <row r="86" spans="1:12" x14ac:dyDescent="0.3">
      <c r="A86" s="2">
        <v>46107</v>
      </c>
      <c r="B86" s="3" t="s">
        <v>45</v>
      </c>
      <c r="C86" t="s">
        <v>42</v>
      </c>
      <c r="D86" t="s">
        <v>41</v>
      </c>
      <c r="E86" t="s">
        <v>41</v>
      </c>
      <c r="F86" t="s">
        <v>15</v>
      </c>
      <c r="G86">
        <v>7003</v>
      </c>
      <c r="H86" t="s">
        <v>16</v>
      </c>
      <c r="J86">
        <v>0</v>
      </c>
      <c r="K86">
        <v>0</v>
      </c>
      <c r="L86" t="s">
        <v>54</v>
      </c>
    </row>
    <row r="87" spans="1:12" x14ac:dyDescent="0.3">
      <c r="A87" s="2">
        <v>46108</v>
      </c>
      <c r="B87" s="3" t="s">
        <v>45</v>
      </c>
      <c r="C87" t="s">
        <v>41</v>
      </c>
      <c r="D87" t="s">
        <v>22</v>
      </c>
      <c r="E87" t="s">
        <v>23</v>
      </c>
      <c r="F87" t="s">
        <v>24</v>
      </c>
      <c r="G87">
        <v>554</v>
      </c>
      <c r="H87" t="s">
        <v>20</v>
      </c>
      <c r="J87">
        <v>5000</v>
      </c>
      <c r="K87">
        <v>4446</v>
      </c>
      <c r="L87" t="s">
        <v>47</v>
      </c>
    </row>
    <row r="88" spans="1:12" x14ac:dyDescent="0.3">
      <c r="A88" s="2">
        <v>46109</v>
      </c>
      <c r="B88" s="3" t="s">
        <v>45</v>
      </c>
      <c r="C88" t="s">
        <v>41</v>
      </c>
      <c r="D88" t="s">
        <v>34</v>
      </c>
      <c r="E88" t="s">
        <v>19</v>
      </c>
      <c r="F88" t="s">
        <v>15</v>
      </c>
      <c r="G88">
        <v>9101</v>
      </c>
      <c r="H88" t="s">
        <v>20</v>
      </c>
      <c r="J88">
        <v>8000</v>
      </c>
      <c r="K88">
        <v>-1101</v>
      </c>
      <c r="L88" t="s">
        <v>52</v>
      </c>
    </row>
    <row r="89" spans="1:12" x14ac:dyDescent="0.3">
      <c r="A89" s="2">
        <v>46110</v>
      </c>
      <c r="B89" s="3" t="s">
        <v>45</v>
      </c>
      <c r="C89" t="s">
        <v>41</v>
      </c>
      <c r="D89" t="s">
        <v>22</v>
      </c>
      <c r="E89" t="s">
        <v>23</v>
      </c>
      <c r="F89" t="s">
        <v>24</v>
      </c>
      <c r="G89">
        <v>115</v>
      </c>
      <c r="H89" t="s">
        <v>20</v>
      </c>
      <c r="J89">
        <v>5000</v>
      </c>
      <c r="K89">
        <v>4885</v>
      </c>
      <c r="L89" t="s">
        <v>47</v>
      </c>
    </row>
    <row r="90" spans="1:12" x14ac:dyDescent="0.3">
      <c r="A90" s="2">
        <v>46111</v>
      </c>
      <c r="B90" s="3" t="s">
        <v>45</v>
      </c>
      <c r="C90" t="s">
        <v>26</v>
      </c>
      <c r="D90" t="s">
        <v>41</v>
      </c>
      <c r="E90" t="s">
        <v>41</v>
      </c>
      <c r="F90" t="s">
        <v>15</v>
      </c>
      <c r="G90">
        <v>14346</v>
      </c>
      <c r="H90" t="s">
        <v>16</v>
      </c>
      <c r="J90">
        <v>0</v>
      </c>
      <c r="K90">
        <v>0</v>
      </c>
      <c r="L90" t="s">
        <v>50</v>
      </c>
    </row>
    <row r="91" spans="1:12" x14ac:dyDescent="0.3">
      <c r="A91" s="2">
        <v>46112</v>
      </c>
      <c r="B91" s="3" t="s">
        <v>45</v>
      </c>
      <c r="C91" t="s">
        <v>41</v>
      </c>
      <c r="D91" t="s">
        <v>39</v>
      </c>
      <c r="E91" t="s">
        <v>23</v>
      </c>
      <c r="F91" t="s">
        <v>24</v>
      </c>
      <c r="G91">
        <v>1775</v>
      </c>
      <c r="H91" t="s">
        <v>20</v>
      </c>
      <c r="J91">
        <v>2000</v>
      </c>
      <c r="K91">
        <v>225</v>
      </c>
      <c r="L91" t="s">
        <v>49</v>
      </c>
    </row>
    <row r="92" spans="1:12" x14ac:dyDescent="0.3">
      <c r="A92" s="2">
        <v>46113</v>
      </c>
      <c r="B92" s="3" t="s">
        <v>46</v>
      </c>
      <c r="C92" t="s">
        <v>41</v>
      </c>
      <c r="D92" t="s">
        <v>31</v>
      </c>
      <c r="E92" t="s">
        <v>23</v>
      </c>
      <c r="F92" t="s">
        <v>32</v>
      </c>
      <c r="G92">
        <v>1784</v>
      </c>
      <c r="H92" t="s">
        <v>20</v>
      </c>
      <c r="J92">
        <v>5000</v>
      </c>
      <c r="K92">
        <v>3216</v>
      </c>
      <c r="L92" t="s">
        <v>48</v>
      </c>
    </row>
    <row r="93" spans="1:12" x14ac:dyDescent="0.3">
      <c r="A93" s="2">
        <v>46114</v>
      </c>
      <c r="B93" s="3" t="s">
        <v>46</v>
      </c>
      <c r="C93" t="s">
        <v>41</v>
      </c>
      <c r="D93" t="s">
        <v>22</v>
      </c>
      <c r="E93" t="s">
        <v>23</v>
      </c>
      <c r="F93" t="s">
        <v>29</v>
      </c>
      <c r="G93">
        <v>717</v>
      </c>
      <c r="H93" t="s">
        <v>20</v>
      </c>
      <c r="J93">
        <v>5000</v>
      </c>
      <c r="K93">
        <v>4283</v>
      </c>
      <c r="L93" t="s">
        <v>47</v>
      </c>
    </row>
    <row r="94" spans="1:12" x14ac:dyDescent="0.3">
      <c r="A94" s="2">
        <v>46115</v>
      </c>
      <c r="B94" s="3" t="s">
        <v>46</v>
      </c>
      <c r="C94" t="s">
        <v>13</v>
      </c>
      <c r="D94" t="s">
        <v>41</v>
      </c>
      <c r="E94" t="s">
        <v>41</v>
      </c>
      <c r="F94" t="s">
        <v>15</v>
      </c>
      <c r="G94">
        <v>41684</v>
      </c>
      <c r="H94" t="s">
        <v>16</v>
      </c>
      <c r="J94">
        <v>0</v>
      </c>
      <c r="K94">
        <v>0</v>
      </c>
      <c r="L94" t="s">
        <v>17</v>
      </c>
    </row>
    <row r="95" spans="1:12" x14ac:dyDescent="0.3">
      <c r="A95" s="2">
        <v>46116</v>
      </c>
      <c r="B95" s="3" t="s">
        <v>46</v>
      </c>
      <c r="C95" t="s">
        <v>41</v>
      </c>
      <c r="D95" t="s">
        <v>34</v>
      </c>
      <c r="E95" t="s">
        <v>19</v>
      </c>
      <c r="F95" t="s">
        <v>15</v>
      </c>
      <c r="G95">
        <v>11175</v>
      </c>
      <c r="H95" t="s">
        <v>20</v>
      </c>
      <c r="J95">
        <v>8000</v>
      </c>
      <c r="K95">
        <v>-3175</v>
      </c>
      <c r="L95" t="s">
        <v>52</v>
      </c>
    </row>
    <row r="96" spans="1:12" x14ac:dyDescent="0.3">
      <c r="A96" s="2">
        <v>46117</v>
      </c>
      <c r="B96" s="3" t="s">
        <v>46</v>
      </c>
      <c r="C96" t="s">
        <v>41</v>
      </c>
      <c r="D96" t="s">
        <v>39</v>
      </c>
      <c r="E96" t="s">
        <v>23</v>
      </c>
      <c r="F96" t="s">
        <v>24</v>
      </c>
      <c r="G96">
        <v>215</v>
      </c>
      <c r="H96" t="s">
        <v>20</v>
      </c>
      <c r="J96">
        <v>2000</v>
      </c>
      <c r="K96">
        <v>1785</v>
      </c>
      <c r="L96" t="s">
        <v>49</v>
      </c>
    </row>
    <row r="97" spans="1:12" x14ac:dyDescent="0.3">
      <c r="A97" s="2">
        <v>46118</v>
      </c>
      <c r="B97" s="3" t="s">
        <v>46</v>
      </c>
      <c r="C97" t="s">
        <v>41</v>
      </c>
      <c r="D97" t="s">
        <v>34</v>
      </c>
      <c r="E97" t="s">
        <v>19</v>
      </c>
      <c r="F97" t="s">
        <v>15</v>
      </c>
      <c r="G97">
        <v>6351</v>
      </c>
      <c r="H97" t="s">
        <v>20</v>
      </c>
      <c r="J97">
        <v>8000</v>
      </c>
      <c r="K97">
        <v>1649</v>
      </c>
      <c r="L97" t="s">
        <v>52</v>
      </c>
    </row>
    <row r="98" spans="1:12" x14ac:dyDescent="0.3">
      <c r="A98" s="2">
        <v>46119</v>
      </c>
      <c r="B98" s="3" t="s">
        <v>46</v>
      </c>
      <c r="C98" t="s">
        <v>42</v>
      </c>
      <c r="D98" t="s">
        <v>41</v>
      </c>
      <c r="E98" t="s">
        <v>41</v>
      </c>
      <c r="F98" t="s">
        <v>15</v>
      </c>
      <c r="G98">
        <v>9869</v>
      </c>
      <c r="H98" t="s">
        <v>16</v>
      </c>
      <c r="J98">
        <v>0</v>
      </c>
      <c r="K98">
        <v>0</v>
      </c>
      <c r="L98" t="s">
        <v>54</v>
      </c>
    </row>
    <row r="99" spans="1:12" x14ac:dyDescent="0.3">
      <c r="A99" s="2">
        <v>46120</v>
      </c>
      <c r="B99" s="3" t="s">
        <v>46</v>
      </c>
      <c r="C99" t="s">
        <v>41</v>
      </c>
      <c r="D99" t="s">
        <v>22</v>
      </c>
      <c r="E99" t="s">
        <v>23</v>
      </c>
      <c r="F99" t="s">
        <v>29</v>
      </c>
      <c r="G99">
        <v>861</v>
      </c>
      <c r="H99" t="s">
        <v>20</v>
      </c>
      <c r="J99">
        <v>5000</v>
      </c>
      <c r="K99">
        <v>4139</v>
      </c>
      <c r="L99" t="s">
        <v>47</v>
      </c>
    </row>
    <row r="100" spans="1:12" x14ac:dyDescent="0.3">
      <c r="A100" s="2">
        <v>46121</v>
      </c>
      <c r="B100" s="3" t="s">
        <v>46</v>
      </c>
      <c r="C100" t="s">
        <v>41</v>
      </c>
      <c r="D100" t="s">
        <v>31</v>
      </c>
      <c r="E100" t="s">
        <v>23</v>
      </c>
      <c r="F100" t="s">
        <v>32</v>
      </c>
      <c r="G100">
        <v>2866</v>
      </c>
      <c r="H100" t="s">
        <v>20</v>
      </c>
      <c r="J100">
        <v>5000</v>
      </c>
      <c r="K100">
        <v>2134</v>
      </c>
      <c r="L100" t="s">
        <v>48</v>
      </c>
    </row>
    <row r="101" spans="1:12" x14ac:dyDescent="0.3">
      <c r="A101" s="2">
        <v>46122</v>
      </c>
      <c r="B101" s="3" t="s">
        <v>46</v>
      </c>
      <c r="C101" t="s">
        <v>41</v>
      </c>
      <c r="D101" t="s">
        <v>31</v>
      </c>
      <c r="E101" t="s">
        <v>23</v>
      </c>
      <c r="F101" t="s">
        <v>32</v>
      </c>
      <c r="G101">
        <v>1133</v>
      </c>
      <c r="H101" t="s">
        <v>20</v>
      </c>
      <c r="J101">
        <v>5000</v>
      </c>
      <c r="K101">
        <v>3867</v>
      </c>
      <c r="L101"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46994-FC95-48F7-ABAD-FDBD0290F993}">
  <dimension ref="A1:L102"/>
  <sheetViews>
    <sheetView workbookViewId="0">
      <selection activeCell="E23" sqref="E23"/>
    </sheetView>
  </sheetViews>
  <sheetFormatPr defaultColWidth="26.33203125" defaultRowHeight="14.4" x14ac:dyDescent="0.3"/>
  <cols>
    <col min="1" max="1" width="10.33203125" bestFit="1" customWidth="1"/>
    <col min="2" max="2" width="8" customWidth="1"/>
    <col min="3" max="3" width="15.21875" customWidth="1"/>
    <col min="4" max="4" width="17.44140625" customWidth="1"/>
    <col min="5" max="5" width="14" customWidth="1"/>
    <col min="6" max="6" width="15.109375" customWidth="1"/>
    <col min="7" max="7" width="9.33203125" customWidth="1"/>
    <col min="8" max="8" width="10.44140625" customWidth="1"/>
    <col min="9" max="9" width="9.21875" customWidth="1"/>
    <col min="10" max="10" width="17" customWidth="1"/>
    <col min="11" max="11" width="17.77734375" customWidth="1"/>
    <col min="12" max="12" width="17"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v>46023</v>
      </c>
      <c r="B2" s="3" t="s">
        <v>12</v>
      </c>
      <c r="C2" s="3" t="s">
        <v>13</v>
      </c>
      <c r="D2" s="3"/>
      <c r="E2" s="3" t="s">
        <v>41</v>
      </c>
      <c r="F2" s="3" t="s">
        <v>15</v>
      </c>
      <c r="G2" s="3">
        <v>50000</v>
      </c>
      <c r="H2" s="3" t="s">
        <v>16</v>
      </c>
      <c r="I2" s="3"/>
      <c r="J2" s="3">
        <v>0</v>
      </c>
      <c r="K2" s="3">
        <v>0</v>
      </c>
      <c r="L2" s="3" t="s">
        <v>17</v>
      </c>
    </row>
    <row r="3" spans="1:12" x14ac:dyDescent="0.3">
      <c r="A3" s="2">
        <v>46024</v>
      </c>
      <c r="B3" s="3" t="s">
        <v>12</v>
      </c>
      <c r="C3" s="3"/>
      <c r="D3" s="3" t="s">
        <v>18</v>
      </c>
      <c r="E3" s="3" t="s">
        <v>19</v>
      </c>
      <c r="F3" s="3" t="s">
        <v>15</v>
      </c>
      <c r="G3" s="3">
        <v>15000</v>
      </c>
      <c r="H3" s="3" t="s">
        <v>20</v>
      </c>
      <c r="I3" s="3"/>
      <c r="J3" s="3">
        <v>15000</v>
      </c>
      <c r="K3" s="3">
        <v>0</v>
      </c>
      <c r="L3" s="3" t="s">
        <v>21</v>
      </c>
    </row>
    <row r="4" spans="1:12" x14ac:dyDescent="0.3">
      <c r="A4" s="2">
        <v>46025</v>
      </c>
      <c r="B4" s="3" t="s">
        <v>12</v>
      </c>
      <c r="C4" s="3"/>
      <c r="D4" s="3" t="s">
        <v>22</v>
      </c>
      <c r="E4" s="3" t="s">
        <v>23</v>
      </c>
      <c r="F4" s="3" t="s">
        <v>24</v>
      </c>
      <c r="G4" s="3">
        <v>500</v>
      </c>
      <c r="H4" s="3" t="s">
        <v>20</v>
      </c>
      <c r="I4" s="3"/>
      <c r="J4" s="3">
        <v>5000</v>
      </c>
      <c r="K4" s="3">
        <v>4500</v>
      </c>
      <c r="L4" s="3" t="s">
        <v>25</v>
      </c>
    </row>
    <row r="5" spans="1:12" x14ac:dyDescent="0.3">
      <c r="A5" s="2">
        <v>46026</v>
      </c>
      <c r="B5" s="3" t="s">
        <v>12</v>
      </c>
      <c r="C5" s="3" t="s">
        <v>26</v>
      </c>
      <c r="D5" s="3"/>
      <c r="E5" s="3" t="s">
        <v>41</v>
      </c>
      <c r="F5" s="3" t="s">
        <v>24</v>
      </c>
      <c r="G5" s="3">
        <v>8000</v>
      </c>
      <c r="H5" s="3" t="s">
        <v>16</v>
      </c>
      <c r="I5" s="3"/>
      <c r="J5" s="3">
        <v>0</v>
      </c>
      <c r="K5" s="3">
        <v>0</v>
      </c>
      <c r="L5" s="3" t="s">
        <v>27</v>
      </c>
    </row>
    <row r="6" spans="1:12" x14ac:dyDescent="0.3">
      <c r="A6" s="2">
        <v>46027</v>
      </c>
      <c r="B6" s="3" t="s">
        <v>12</v>
      </c>
      <c r="C6" s="3"/>
      <c r="D6" s="3" t="s">
        <v>28</v>
      </c>
      <c r="E6" s="3" t="s">
        <v>23</v>
      </c>
      <c r="F6" s="3" t="s">
        <v>29</v>
      </c>
      <c r="G6" s="3">
        <v>300</v>
      </c>
      <c r="H6" s="3" t="s">
        <v>20</v>
      </c>
      <c r="I6" s="3"/>
      <c r="J6" s="3">
        <v>2000</v>
      </c>
      <c r="K6" s="3">
        <v>1700</v>
      </c>
      <c r="L6" s="3" t="s">
        <v>30</v>
      </c>
    </row>
    <row r="7" spans="1:12" x14ac:dyDescent="0.3">
      <c r="A7" s="2">
        <v>46028</v>
      </c>
      <c r="B7" s="3" t="s">
        <v>12</v>
      </c>
      <c r="C7" s="3"/>
      <c r="D7" s="3" t="s">
        <v>31</v>
      </c>
      <c r="E7" s="3" t="s">
        <v>23</v>
      </c>
      <c r="F7" s="3" t="s">
        <v>32</v>
      </c>
      <c r="G7" s="3">
        <v>2000</v>
      </c>
      <c r="H7" s="3" t="s">
        <v>20</v>
      </c>
      <c r="I7" s="3"/>
      <c r="J7" s="3">
        <v>5000</v>
      </c>
      <c r="K7" s="3">
        <v>3000</v>
      </c>
      <c r="L7" s="3" t="s">
        <v>33</v>
      </c>
    </row>
    <row r="8" spans="1:12" x14ac:dyDescent="0.3">
      <c r="A8" s="2">
        <v>46029</v>
      </c>
      <c r="B8" s="3" t="s">
        <v>12</v>
      </c>
      <c r="C8" s="3"/>
      <c r="D8" s="3" t="s">
        <v>34</v>
      </c>
      <c r="E8" s="3" t="s">
        <v>19</v>
      </c>
      <c r="F8" s="3" t="s">
        <v>15</v>
      </c>
      <c r="G8" s="3">
        <v>8000</v>
      </c>
      <c r="H8" s="3" t="s">
        <v>20</v>
      </c>
      <c r="I8" s="3"/>
      <c r="J8" s="3">
        <v>8000</v>
      </c>
      <c r="K8" s="3">
        <v>0</v>
      </c>
      <c r="L8" s="3" t="s">
        <v>35</v>
      </c>
    </row>
    <row r="9" spans="1:12" x14ac:dyDescent="0.3">
      <c r="A9" s="2">
        <v>46030</v>
      </c>
      <c r="B9" s="3" t="s">
        <v>12</v>
      </c>
      <c r="C9" s="3" t="s">
        <v>36</v>
      </c>
      <c r="D9" s="3"/>
      <c r="E9" s="3" t="s">
        <v>41</v>
      </c>
      <c r="F9" s="3" t="s">
        <v>15</v>
      </c>
      <c r="G9" s="3">
        <v>12000</v>
      </c>
      <c r="H9" s="3" t="s">
        <v>16</v>
      </c>
      <c r="I9" s="3"/>
      <c r="J9" s="3">
        <v>0</v>
      </c>
      <c r="K9" s="3">
        <v>0</v>
      </c>
      <c r="L9" s="3" t="s">
        <v>37</v>
      </c>
    </row>
    <row r="10" spans="1:12" x14ac:dyDescent="0.3">
      <c r="A10" s="2">
        <v>46031</v>
      </c>
      <c r="B10" s="3" t="s">
        <v>12</v>
      </c>
      <c r="C10" s="3"/>
      <c r="D10" s="3" t="s">
        <v>22</v>
      </c>
      <c r="E10" s="3" t="s">
        <v>23</v>
      </c>
      <c r="F10" s="3" t="s">
        <v>24</v>
      </c>
      <c r="G10" s="3">
        <v>700</v>
      </c>
      <c r="H10" s="3" t="s">
        <v>20</v>
      </c>
      <c r="I10" s="3"/>
      <c r="J10" s="3">
        <v>5000</v>
      </c>
      <c r="K10" s="3">
        <v>3800</v>
      </c>
      <c r="L10" s="3" t="s">
        <v>38</v>
      </c>
    </row>
    <row r="11" spans="1:12" x14ac:dyDescent="0.3">
      <c r="A11" s="2">
        <v>46032</v>
      </c>
      <c r="B11" s="3" t="s">
        <v>12</v>
      </c>
      <c r="C11" s="3"/>
      <c r="D11" s="3" t="s">
        <v>39</v>
      </c>
      <c r="E11" s="3" t="s">
        <v>23</v>
      </c>
      <c r="F11" s="3" t="s">
        <v>24</v>
      </c>
      <c r="G11" s="3">
        <v>400</v>
      </c>
      <c r="H11" s="3" t="s">
        <v>20</v>
      </c>
      <c r="I11" s="3"/>
      <c r="J11" s="3">
        <v>2000</v>
      </c>
      <c r="K11" s="3">
        <v>1600</v>
      </c>
      <c r="L11" s="3" t="s">
        <v>40</v>
      </c>
    </row>
    <row r="12" spans="1:12" x14ac:dyDescent="0.3">
      <c r="A12" s="2">
        <v>46033</v>
      </c>
      <c r="B12" s="3" t="s">
        <v>12</v>
      </c>
      <c r="C12" t="s">
        <v>41</v>
      </c>
      <c r="D12" t="s">
        <v>22</v>
      </c>
      <c r="E12" t="s">
        <v>23</v>
      </c>
      <c r="F12" t="s">
        <v>29</v>
      </c>
      <c r="G12">
        <v>919</v>
      </c>
      <c r="H12" t="s">
        <v>20</v>
      </c>
      <c r="J12">
        <v>5000</v>
      </c>
      <c r="K12">
        <v>4081</v>
      </c>
      <c r="L12" t="s">
        <v>47</v>
      </c>
    </row>
    <row r="13" spans="1:12" x14ac:dyDescent="0.3">
      <c r="A13" s="2">
        <v>46034</v>
      </c>
      <c r="B13" s="3" t="s">
        <v>12</v>
      </c>
      <c r="C13" t="s">
        <v>41</v>
      </c>
      <c r="D13" t="s">
        <v>31</v>
      </c>
      <c r="E13" t="s">
        <v>23</v>
      </c>
      <c r="F13" t="s">
        <v>32</v>
      </c>
      <c r="G13">
        <v>2856</v>
      </c>
      <c r="H13" t="s">
        <v>20</v>
      </c>
      <c r="J13">
        <v>5000</v>
      </c>
      <c r="K13">
        <v>2144</v>
      </c>
      <c r="L13" t="s">
        <v>48</v>
      </c>
    </row>
    <row r="14" spans="1:12" x14ac:dyDescent="0.3">
      <c r="A14" s="2">
        <v>46035</v>
      </c>
      <c r="B14" s="3" t="s">
        <v>12</v>
      </c>
      <c r="C14" t="s">
        <v>13</v>
      </c>
      <c r="D14" t="s">
        <v>41</v>
      </c>
      <c r="E14" t="s">
        <v>41</v>
      </c>
      <c r="F14" t="s">
        <v>15</v>
      </c>
      <c r="G14">
        <v>51668</v>
      </c>
      <c r="H14" t="s">
        <v>16</v>
      </c>
      <c r="J14">
        <v>0</v>
      </c>
      <c r="K14">
        <v>0</v>
      </c>
      <c r="L14" t="s">
        <v>17</v>
      </c>
    </row>
    <row r="15" spans="1:12" x14ac:dyDescent="0.3">
      <c r="A15" s="2">
        <v>46036</v>
      </c>
      <c r="B15" s="3" t="s">
        <v>12</v>
      </c>
      <c r="C15" t="s">
        <v>41</v>
      </c>
      <c r="D15" t="s">
        <v>18</v>
      </c>
      <c r="E15" t="s">
        <v>19</v>
      </c>
      <c r="F15" t="s">
        <v>15</v>
      </c>
      <c r="G15">
        <v>10599</v>
      </c>
      <c r="H15" t="s">
        <v>20</v>
      </c>
      <c r="J15">
        <v>15000</v>
      </c>
      <c r="K15">
        <v>4401</v>
      </c>
      <c r="L15" t="s">
        <v>21</v>
      </c>
    </row>
    <row r="16" spans="1:12" x14ac:dyDescent="0.3">
      <c r="A16" s="2">
        <v>46037</v>
      </c>
      <c r="B16" s="3" t="s">
        <v>12</v>
      </c>
      <c r="C16" t="s">
        <v>41</v>
      </c>
      <c r="D16" t="s">
        <v>31</v>
      </c>
      <c r="E16" t="s">
        <v>23</v>
      </c>
      <c r="F16" t="s">
        <v>32</v>
      </c>
      <c r="G16">
        <v>1513</v>
      </c>
      <c r="H16" t="s">
        <v>20</v>
      </c>
      <c r="J16">
        <v>5000</v>
      </c>
      <c r="K16">
        <v>3487</v>
      </c>
      <c r="L16" t="s">
        <v>48</v>
      </c>
    </row>
    <row r="17" spans="1:12" x14ac:dyDescent="0.3">
      <c r="A17" s="2">
        <v>46038</v>
      </c>
      <c r="B17" s="3" t="s">
        <v>12</v>
      </c>
      <c r="C17" t="s">
        <v>41</v>
      </c>
      <c r="D17" t="s">
        <v>39</v>
      </c>
      <c r="E17" t="s">
        <v>23</v>
      </c>
      <c r="F17" t="s">
        <v>24</v>
      </c>
      <c r="G17">
        <v>1018</v>
      </c>
      <c r="H17" t="s">
        <v>20</v>
      </c>
      <c r="J17">
        <v>2000</v>
      </c>
      <c r="K17">
        <v>982</v>
      </c>
      <c r="L17" t="s">
        <v>49</v>
      </c>
    </row>
    <row r="18" spans="1:12" x14ac:dyDescent="0.3">
      <c r="A18" s="2">
        <v>46039</v>
      </c>
      <c r="B18" s="3" t="s">
        <v>12</v>
      </c>
      <c r="C18" t="s">
        <v>26</v>
      </c>
      <c r="D18" t="s">
        <v>41</v>
      </c>
      <c r="E18" t="s">
        <v>41</v>
      </c>
      <c r="F18" t="s">
        <v>15</v>
      </c>
      <c r="G18">
        <v>4193</v>
      </c>
      <c r="H18" t="s">
        <v>16</v>
      </c>
      <c r="J18">
        <v>0</v>
      </c>
      <c r="K18">
        <v>0</v>
      </c>
      <c r="L18" t="s">
        <v>50</v>
      </c>
    </row>
    <row r="19" spans="1:12" x14ac:dyDescent="0.3">
      <c r="A19" s="2">
        <v>46040</v>
      </c>
      <c r="B19" s="3" t="s">
        <v>12</v>
      </c>
      <c r="C19" t="s">
        <v>41</v>
      </c>
      <c r="D19" t="s">
        <v>22</v>
      </c>
      <c r="E19" t="s">
        <v>23</v>
      </c>
      <c r="F19" t="s">
        <v>24</v>
      </c>
      <c r="G19">
        <v>276</v>
      </c>
      <c r="H19" t="s">
        <v>20</v>
      </c>
      <c r="J19">
        <v>5000</v>
      </c>
      <c r="K19">
        <v>4724</v>
      </c>
      <c r="L19" t="s">
        <v>47</v>
      </c>
    </row>
    <row r="20" spans="1:12" x14ac:dyDescent="0.3">
      <c r="A20" s="2">
        <v>46041</v>
      </c>
      <c r="B20" s="3" t="s">
        <v>12</v>
      </c>
      <c r="C20" t="s">
        <v>41</v>
      </c>
      <c r="D20" t="s">
        <v>28</v>
      </c>
      <c r="E20" t="s">
        <v>23</v>
      </c>
      <c r="F20" t="s">
        <v>24</v>
      </c>
      <c r="G20">
        <v>564</v>
      </c>
      <c r="H20" t="s">
        <v>20</v>
      </c>
      <c r="J20">
        <v>2000</v>
      </c>
      <c r="K20">
        <v>1436</v>
      </c>
      <c r="L20" t="s">
        <v>51</v>
      </c>
    </row>
    <row r="21" spans="1:12" x14ac:dyDescent="0.3">
      <c r="A21" s="2">
        <v>46042</v>
      </c>
      <c r="B21" s="3" t="s">
        <v>12</v>
      </c>
      <c r="C21" t="s">
        <v>41</v>
      </c>
      <c r="D21" t="s">
        <v>28</v>
      </c>
      <c r="E21" t="s">
        <v>23</v>
      </c>
      <c r="F21" t="s">
        <v>29</v>
      </c>
      <c r="G21">
        <v>339</v>
      </c>
      <c r="H21" t="s">
        <v>20</v>
      </c>
      <c r="J21">
        <v>2000</v>
      </c>
      <c r="K21">
        <v>1661</v>
      </c>
      <c r="L21" t="s">
        <v>51</v>
      </c>
    </row>
    <row r="22" spans="1:12" x14ac:dyDescent="0.3">
      <c r="A22" s="2">
        <v>46043</v>
      </c>
      <c r="B22" s="3" t="s">
        <v>12</v>
      </c>
      <c r="C22" t="s">
        <v>13</v>
      </c>
      <c r="D22" t="s">
        <v>41</v>
      </c>
      <c r="E22" t="s">
        <v>41</v>
      </c>
      <c r="F22" t="s">
        <v>15</v>
      </c>
      <c r="G22">
        <v>56008</v>
      </c>
      <c r="H22" t="s">
        <v>16</v>
      </c>
      <c r="J22">
        <v>0</v>
      </c>
      <c r="K22">
        <v>0</v>
      </c>
      <c r="L22" t="s">
        <v>17</v>
      </c>
    </row>
    <row r="23" spans="1:12" x14ac:dyDescent="0.3">
      <c r="A23" s="2">
        <v>46044</v>
      </c>
      <c r="B23" s="3" t="s">
        <v>12</v>
      </c>
      <c r="C23" t="s">
        <v>41</v>
      </c>
      <c r="D23" t="s">
        <v>28</v>
      </c>
      <c r="E23" t="s">
        <v>23</v>
      </c>
      <c r="F23" t="s">
        <v>24</v>
      </c>
      <c r="G23">
        <v>509</v>
      </c>
      <c r="H23" t="s">
        <v>20</v>
      </c>
      <c r="J23">
        <v>2000</v>
      </c>
      <c r="K23">
        <v>1491</v>
      </c>
      <c r="L23" t="s">
        <v>51</v>
      </c>
    </row>
    <row r="24" spans="1:12" x14ac:dyDescent="0.3">
      <c r="A24" s="2">
        <v>46045</v>
      </c>
      <c r="B24" s="3" t="s">
        <v>12</v>
      </c>
      <c r="C24" t="s">
        <v>41</v>
      </c>
      <c r="D24" t="s">
        <v>34</v>
      </c>
      <c r="E24" t="s">
        <v>19</v>
      </c>
      <c r="F24" t="s">
        <v>15</v>
      </c>
      <c r="G24">
        <v>13991</v>
      </c>
      <c r="H24" t="s">
        <v>20</v>
      </c>
      <c r="J24">
        <v>8000</v>
      </c>
      <c r="K24">
        <v>-5991</v>
      </c>
      <c r="L24" t="s">
        <v>52</v>
      </c>
    </row>
    <row r="25" spans="1:12" x14ac:dyDescent="0.3">
      <c r="A25" s="2">
        <v>46046</v>
      </c>
      <c r="B25" s="3" t="s">
        <v>12</v>
      </c>
      <c r="C25" t="s">
        <v>41</v>
      </c>
      <c r="D25" t="s">
        <v>28</v>
      </c>
      <c r="E25" t="s">
        <v>23</v>
      </c>
      <c r="F25" t="s">
        <v>24</v>
      </c>
      <c r="G25">
        <v>376</v>
      </c>
      <c r="H25" t="s">
        <v>20</v>
      </c>
      <c r="J25">
        <v>2000</v>
      </c>
      <c r="K25">
        <v>1624</v>
      </c>
      <c r="L25" t="s">
        <v>51</v>
      </c>
    </row>
    <row r="26" spans="1:12" x14ac:dyDescent="0.3">
      <c r="A26" s="2">
        <v>46047</v>
      </c>
      <c r="B26" s="3" t="s">
        <v>12</v>
      </c>
      <c r="C26" t="s">
        <v>36</v>
      </c>
      <c r="D26" t="s">
        <v>41</v>
      </c>
      <c r="E26" t="s">
        <v>41</v>
      </c>
      <c r="F26" t="s">
        <v>15</v>
      </c>
      <c r="G26">
        <v>11380</v>
      </c>
      <c r="H26" t="s">
        <v>16</v>
      </c>
      <c r="J26">
        <v>0</v>
      </c>
      <c r="K26">
        <v>0</v>
      </c>
      <c r="L26" t="s">
        <v>53</v>
      </c>
    </row>
    <row r="27" spans="1:12" x14ac:dyDescent="0.3">
      <c r="A27" s="2">
        <v>46048</v>
      </c>
      <c r="B27" s="3" t="s">
        <v>12</v>
      </c>
      <c r="C27" t="s">
        <v>41</v>
      </c>
      <c r="D27" t="s">
        <v>22</v>
      </c>
      <c r="E27" t="s">
        <v>23</v>
      </c>
      <c r="F27" t="s">
        <v>24</v>
      </c>
      <c r="G27">
        <v>731</v>
      </c>
      <c r="H27" t="s">
        <v>20</v>
      </c>
      <c r="J27">
        <v>5000</v>
      </c>
      <c r="K27">
        <v>4269</v>
      </c>
      <c r="L27" t="s">
        <v>47</v>
      </c>
    </row>
    <row r="28" spans="1:12" x14ac:dyDescent="0.3">
      <c r="A28" s="2">
        <v>46049</v>
      </c>
      <c r="B28" s="3" t="s">
        <v>12</v>
      </c>
      <c r="C28" t="s">
        <v>41</v>
      </c>
      <c r="D28" t="s">
        <v>28</v>
      </c>
      <c r="E28" t="s">
        <v>23</v>
      </c>
      <c r="F28" t="s">
        <v>24</v>
      </c>
      <c r="G28">
        <v>650</v>
      </c>
      <c r="H28" t="s">
        <v>20</v>
      </c>
      <c r="J28">
        <v>2000</v>
      </c>
      <c r="K28">
        <v>1350</v>
      </c>
      <c r="L28" t="s">
        <v>51</v>
      </c>
    </row>
    <row r="29" spans="1:12" x14ac:dyDescent="0.3">
      <c r="A29" s="2">
        <v>46050</v>
      </c>
      <c r="B29" s="3" t="s">
        <v>12</v>
      </c>
      <c r="C29" t="s">
        <v>41</v>
      </c>
      <c r="D29" t="s">
        <v>18</v>
      </c>
      <c r="E29" t="s">
        <v>19</v>
      </c>
      <c r="F29" t="s">
        <v>15</v>
      </c>
      <c r="G29">
        <v>18323</v>
      </c>
      <c r="H29" t="s">
        <v>20</v>
      </c>
      <c r="J29">
        <v>15000</v>
      </c>
      <c r="K29">
        <v>-3323</v>
      </c>
      <c r="L29" t="s">
        <v>21</v>
      </c>
    </row>
    <row r="30" spans="1:12" x14ac:dyDescent="0.3">
      <c r="A30" s="2">
        <v>46051</v>
      </c>
      <c r="B30" s="3" t="s">
        <v>12</v>
      </c>
      <c r="C30" t="s">
        <v>42</v>
      </c>
      <c r="D30" t="s">
        <v>41</v>
      </c>
      <c r="E30" t="s">
        <v>41</v>
      </c>
      <c r="F30" t="s">
        <v>15</v>
      </c>
      <c r="G30">
        <v>7360</v>
      </c>
      <c r="H30" t="s">
        <v>16</v>
      </c>
      <c r="J30">
        <v>0</v>
      </c>
      <c r="K30">
        <v>0</v>
      </c>
      <c r="L30" t="s">
        <v>54</v>
      </c>
    </row>
    <row r="31" spans="1:12" x14ac:dyDescent="0.3">
      <c r="A31" s="2">
        <v>46052</v>
      </c>
      <c r="B31" s="3" t="s">
        <v>12</v>
      </c>
      <c r="C31" t="s">
        <v>41</v>
      </c>
      <c r="D31" t="s">
        <v>18</v>
      </c>
      <c r="E31" t="s">
        <v>19</v>
      </c>
      <c r="F31" t="s">
        <v>15</v>
      </c>
      <c r="G31">
        <v>18696</v>
      </c>
      <c r="H31" t="s">
        <v>20</v>
      </c>
      <c r="J31">
        <v>15000</v>
      </c>
      <c r="K31">
        <v>-3696</v>
      </c>
      <c r="L31" t="s">
        <v>21</v>
      </c>
    </row>
    <row r="32" spans="1:12" x14ac:dyDescent="0.3">
      <c r="A32" s="2">
        <v>46053</v>
      </c>
      <c r="B32" s="3" t="s">
        <v>12</v>
      </c>
      <c r="C32" t="s">
        <v>41</v>
      </c>
      <c r="D32" t="s">
        <v>18</v>
      </c>
      <c r="E32" t="s">
        <v>19</v>
      </c>
      <c r="F32" t="s">
        <v>15</v>
      </c>
      <c r="G32">
        <v>16355</v>
      </c>
      <c r="H32" t="s">
        <v>20</v>
      </c>
      <c r="J32">
        <v>15000</v>
      </c>
      <c r="K32">
        <v>-1355</v>
      </c>
      <c r="L32" t="s">
        <v>21</v>
      </c>
    </row>
    <row r="33" spans="1:12" x14ac:dyDescent="0.3">
      <c r="A33" s="2">
        <v>46054</v>
      </c>
      <c r="B33" s="3" t="s">
        <v>44</v>
      </c>
      <c r="C33" t="s">
        <v>41</v>
      </c>
      <c r="D33" t="s">
        <v>18</v>
      </c>
      <c r="E33" t="s">
        <v>19</v>
      </c>
      <c r="F33" t="s">
        <v>15</v>
      </c>
      <c r="G33">
        <v>19271</v>
      </c>
      <c r="H33" t="s">
        <v>20</v>
      </c>
      <c r="J33">
        <v>15000</v>
      </c>
      <c r="K33">
        <v>-4271</v>
      </c>
      <c r="L33" t="s">
        <v>21</v>
      </c>
    </row>
    <row r="34" spans="1:12" x14ac:dyDescent="0.3">
      <c r="A34" s="2">
        <v>46055</v>
      </c>
      <c r="B34" s="3" t="s">
        <v>44</v>
      </c>
      <c r="C34" t="s">
        <v>26</v>
      </c>
      <c r="D34" t="s">
        <v>41</v>
      </c>
      <c r="E34" t="s">
        <v>41</v>
      </c>
      <c r="F34" t="s">
        <v>15</v>
      </c>
      <c r="G34">
        <v>7332</v>
      </c>
      <c r="H34" t="s">
        <v>16</v>
      </c>
      <c r="J34">
        <v>0</v>
      </c>
      <c r="K34">
        <v>0</v>
      </c>
      <c r="L34" t="s">
        <v>50</v>
      </c>
    </row>
    <row r="35" spans="1:12" x14ac:dyDescent="0.3">
      <c r="A35" s="2">
        <v>46056</v>
      </c>
      <c r="B35" s="3" t="s">
        <v>44</v>
      </c>
      <c r="C35" t="s">
        <v>41</v>
      </c>
      <c r="D35" t="s">
        <v>39</v>
      </c>
      <c r="E35" t="s">
        <v>23</v>
      </c>
      <c r="F35" t="s">
        <v>24</v>
      </c>
      <c r="G35">
        <v>580</v>
      </c>
      <c r="H35" t="s">
        <v>20</v>
      </c>
      <c r="J35">
        <v>2000</v>
      </c>
      <c r="K35">
        <v>1420</v>
      </c>
      <c r="L35" t="s">
        <v>49</v>
      </c>
    </row>
    <row r="36" spans="1:12" x14ac:dyDescent="0.3">
      <c r="A36" s="2">
        <v>46057</v>
      </c>
      <c r="B36" s="3" t="s">
        <v>44</v>
      </c>
      <c r="C36" t="s">
        <v>41</v>
      </c>
      <c r="D36" t="s">
        <v>22</v>
      </c>
      <c r="E36" t="s">
        <v>23</v>
      </c>
      <c r="F36" t="s">
        <v>24</v>
      </c>
      <c r="G36">
        <v>464</v>
      </c>
      <c r="H36" t="s">
        <v>20</v>
      </c>
      <c r="J36">
        <v>5000</v>
      </c>
      <c r="K36">
        <v>4536</v>
      </c>
      <c r="L36" t="s">
        <v>47</v>
      </c>
    </row>
    <row r="37" spans="1:12" x14ac:dyDescent="0.3">
      <c r="A37" s="2">
        <v>46058</v>
      </c>
      <c r="B37" s="3" t="s">
        <v>44</v>
      </c>
      <c r="C37" t="s">
        <v>41</v>
      </c>
      <c r="D37" t="s">
        <v>22</v>
      </c>
      <c r="E37" t="s">
        <v>23</v>
      </c>
      <c r="F37" t="s">
        <v>29</v>
      </c>
      <c r="G37">
        <v>352</v>
      </c>
      <c r="H37" t="s">
        <v>20</v>
      </c>
      <c r="J37">
        <v>5000</v>
      </c>
      <c r="K37">
        <v>4648</v>
      </c>
      <c r="L37" t="s">
        <v>47</v>
      </c>
    </row>
    <row r="38" spans="1:12" x14ac:dyDescent="0.3">
      <c r="A38" s="2">
        <v>46059</v>
      </c>
      <c r="B38" s="3" t="s">
        <v>44</v>
      </c>
      <c r="C38" t="s">
        <v>26</v>
      </c>
      <c r="D38" t="s">
        <v>41</v>
      </c>
      <c r="E38" t="s">
        <v>41</v>
      </c>
      <c r="F38" t="s">
        <v>15</v>
      </c>
      <c r="G38">
        <v>7274</v>
      </c>
      <c r="H38" t="s">
        <v>16</v>
      </c>
      <c r="J38">
        <v>0</v>
      </c>
      <c r="K38">
        <v>0</v>
      </c>
      <c r="L38" t="s">
        <v>50</v>
      </c>
    </row>
    <row r="39" spans="1:12" x14ac:dyDescent="0.3">
      <c r="A39" s="2">
        <v>46060</v>
      </c>
      <c r="B39" s="3" t="s">
        <v>44</v>
      </c>
      <c r="C39" t="s">
        <v>41</v>
      </c>
      <c r="D39" t="s">
        <v>28</v>
      </c>
      <c r="E39" t="s">
        <v>23</v>
      </c>
      <c r="F39" t="s">
        <v>24</v>
      </c>
      <c r="G39">
        <v>281</v>
      </c>
      <c r="H39" t="s">
        <v>20</v>
      </c>
      <c r="J39">
        <v>2000</v>
      </c>
      <c r="K39">
        <v>1719</v>
      </c>
      <c r="L39" t="s">
        <v>51</v>
      </c>
    </row>
    <row r="40" spans="1:12" x14ac:dyDescent="0.3">
      <c r="A40" s="2">
        <v>46061</v>
      </c>
      <c r="B40" s="3" t="s">
        <v>44</v>
      </c>
      <c r="C40" t="s">
        <v>41</v>
      </c>
      <c r="D40" t="s">
        <v>22</v>
      </c>
      <c r="E40" t="s">
        <v>23</v>
      </c>
      <c r="F40" t="s">
        <v>24</v>
      </c>
      <c r="G40">
        <v>202</v>
      </c>
      <c r="H40" t="s">
        <v>20</v>
      </c>
      <c r="J40">
        <v>5000</v>
      </c>
      <c r="K40">
        <v>4798</v>
      </c>
      <c r="L40" t="s">
        <v>47</v>
      </c>
    </row>
    <row r="41" spans="1:12" x14ac:dyDescent="0.3">
      <c r="A41" s="2">
        <v>46062</v>
      </c>
      <c r="B41" s="3" t="s">
        <v>44</v>
      </c>
      <c r="C41" t="s">
        <v>41</v>
      </c>
      <c r="D41" t="s">
        <v>28</v>
      </c>
      <c r="E41" t="s">
        <v>23</v>
      </c>
      <c r="F41" t="s">
        <v>24</v>
      </c>
      <c r="G41">
        <v>456</v>
      </c>
      <c r="H41" t="s">
        <v>20</v>
      </c>
      <c r="J41">
        <v>2000</v>
      </c>
      <c r="K41">
        <v>1544</v>
      </c>
      <c r="L41" t="s">
        <v>51</v>
      </c>
    </row>
    <row r="42" spans="1:12" x14ac:dyDescent="0.3">
      <c r="A42" s="2">
        <v>46063</v>
      </c>
      <c r="B42" s="3" t="s">
        <v>44</v>
      </c>
      <c r="C42" t="s">
        <v>42</v>
      </c>
      <c r="D42" t="s">
        <v>41</v>
      </c>
      <c r="E42" t="s">
        <v>41</v>
      </c>
      <c r="F42" t="s">
        <v>15</v>
      </c>
      <c r="G42">
        <v>8236</v>
      </c>
      <c r="H42" t="s">
        <v>16</v>
      </c>
      <c r="J42">
        <v>0</v>
      </c>
      <c r="K42">
        <v>0</v>
      </c>
      <c r="L42" t="s">
        <v>54</v>
      </c>
    </row>
    <row r="43" spans="1:12" x14ac:dyDescent="0.3">
      <c r="A43" s="2">
        <v>46064</v>
      </c>
      <c r="B43" s="3" t="s">
        <v>44</v>
      </c>
      <c r="C43" t="s">
        <v>41</v>
      </c>
      <c r="D43" t="s">
        <v>31</v>
      </c>
      <c r="E43" t="s">
        <v>23</v>
      </c>
      <c r="F43" t="s">
        <v>32</v>
      </c>
      <c r="G43">
        <v>2559</v>
      </c>
      <c r="H43" t="s">
        <v>20</v>
      </c>
      <c r="J43">
        <v>5000</v>
      </c>
      <c r="K43">
        <v>2441</v>
      </c>
      <c r="L43" t="s">
        <v>48</v>
      </c>
    </row>
    <row r="44" spans="1:12" x14ac:dyDescent="0.3">
      <c r="A44" s="2">
        <v>46065</v>
      </c>
      <c r="B44" s="3" t="s">
        <v>44</v>
      </c>
      <c r="C44" t="s">
        <v>41</v>
      </c>
      <c r="D44" t="s">
        <v>18</v>
      </c>
      <c r="E44" t="s">
        <v>19</v>
      </c>
      <c r="F44" t="s">
        <v>15</v>
      </c>
      <c r="G44">
        <v>12502</v>
      </c>
      <c r="H44" t="s">
        <v>20</v>
      </c>
      <c r="J44">
        <v>15000</v>
      </c>
      <c r="K44">
        <v>2498</v>
      </c>
      <c r="L44" t="s">
        <v>21</v>
      </c>
    </row>
    <row r="45" spans="1:12" x14ac:dyDescent="0.3">
      <c r="A45" s="2">
        <v>46066</v>
      </c>
      <c r="B45" s="3" t="s">
        <v>44</v>
      </c>
      <c r="C45" t="s">
        <v>41</v>
      </c>
      <c r="D45" t="s">
        <v>18</v>
      </c>
      <c r="E45" t="s">
        <v>19</v>
      </c>
      <c r="F45" t="s">
        <v>15</v>
      </c>
      <c r="G45">
        <v>15328</v>
      </c>
      <c r="H45" t="s">
        <v>20</v>
      </c>
      <c r="J45">
        <v>15000</v>
      </c>
      <c r="K45">
        <v>-328</v>
      </c>
      <c r="L45" t="s">
        <v>21</v>
      </c>
    </row>
    <row r="46" spans="1:12" x14ac:dyDescent="0.3">
      <c r="A46" s="2">
        <v>46067</v>
      </c>
      <c r="B46" s="3" t="s">
        <v>44</v>
      </c>
      <c r="C46" t="s">
        <v>26</v>
      </c>
      <c r="D46" t="s">
        <v>41</v>
      </c>
      <c r="E46" t="s">
        <v>41</v>
      </c>
      <c r="F46" t="s">
        <v>15</v>
      </c>
      <c r="G46">
        <v>11972</v>
      </c>
      <c r="H46" t="s">
        <v>16</v>
      </c>
      <c r="J46">
        <v>0</v>
      </c>
      <c r="K46">
        <v>0</v>
      </c>
      <c r="L46" t="s">
        <v>50</v>
      </c>
    </row>
    <row r="47" spans="1:12" x14ac:dyDescent="0.3">
      <c r="A47" s="2">
        <v>46068</v>
      </c>
      <c r="B47" s="3" t="s">
        <v>44</v>
      </c>
      <c r="C47" t="s">
        <v>41</v>
      </c>
      <c r="D47" t="s">
        <v>18</v>
      </c>
      <c r="E47" t="s">
        <v>19</v>
      </c>
      <c r="F47" t="s">
        <v>15</v>
      </c>
      <c r="G47">
        <v>15957</v>
      </c>
      <c r="H47" t="s">
        <v>20</v>
      </c>
      <c r="J47">
        <v>15000</v>
      </c>
      <c r="K47">
        <v>-957</v>
      </c>
      <c r="L47" t="s">
        <v>21</v>
      </c>
    </row>
    <row r="48" spans="1:12" x14ac:dyDescent="0.3">
      <c r="A48" s="2">
        <v>46069</v>
      </c>
      <c r="B48" s="3" t="s">
        <v>44</v>
      </c>
      <c r="C48" t="s">
        <v>41</v>
      </c>
      <c r="D48" t="s">
        <v>34</v>
      </c>
      <c r="E48" t="s">
        <v>19</v>
      </c>
      <c r="F48" t="s">
        <v>15</v>
      </c>
      <c r="G48">
        <v>13876</v>
      </c>
      <c r="H48" t="s">
        <v>20</v>
      </c>
      <c r="J48">
        <v>8000</v>
      </c>
      <c r="K48">
        <v>-5876</v>
      </c>
      <c r="L48" t="s">
        <v>52</v>
      </c>
    </row>
    <row r="49" spans="1:12" x14ac:dyDescent="0.3">
      <c r="A49" s="2">
        <v>46070</v>
      </c>
      <c r="B49" s="3" t="s">
        <v>44</v>
      </c>
      <c r="C49" t="s">
        <v>41</v>
      </c>
      <c r="D49" t="s">
        <v>28</v>
      </c>
      <c r="E49" t="s">
        <v>23</v>
      </c>
      <c r="F49" t="s">
        <v>24</v>
      </c>
      <c r="G49">
        <v>622</v>
      </c>
      <c r="H49" t="s">
        <v>20</v>
      </c>
      <c r="J49">
        <v>2000</v>
      </c>
      <c r="K49">
        <v>1378</v>
      </c>
      <c r="L49" t="s">
        <v>51</v>
      </c>
    </row>
    <row r="50" spans="1:12" x14ac:dyDescent="0.3">
      <c r="A50" s="2">
        <v>46071</v>
      </c>
      <c r="B50" s="3" t="s">
        <v>44</v>
      </c>
      <c r="C50" t="s">
        <v>13</v>
      </c>
      <c r="D50" t="s">
        <v>41</v>
      </c>
      <c r="E50" t="s">
        <v>41</v>
      </c>
      <c r="F50" t="s">
        <v>15</v>
      </c>
      <c r="G50">
        <v>32650</v>
      </c>
      <c r="H50" t="s">
        <v>16</v>
      </c>
      <c r="J50">
        <v>0</v>
      </c>
      <c r="K50">
        <v>0</v>
      </c>
      <c r="L50" t="s">
        <v>17</v>
      </c>
    </row>
    <row r="51" spans="1:12" x14ac:dyDescent="0.3">
      <c r="A51" s="2">
        <v>46072</v>
      </c>
      <c r="B51" s="3" t="s">
        <v>44</v>
      </c>
      <c r="C51" t="s">
        <v>41</v>
      </c>
      <c r="D51" t="s">
        <v>18</v>
      </c>
      <c r="E51" t="s">
        <v>19</v>
      </c>
      <c r="F51" t="s">
        <v>15</v>
      </c>
      <c r="G51">
        <v>14833</v>
      </c>
      <c r="H51" t="s">
        <v>20</v>
      </c>
      <c r="J51">
        <v>15000</v>
      </c>
      <c r="K51">
        <v>167</v>
      </c>
      <c r="L51" t="s">
        <v>21</v>
      </c>
    </row>
    <row r="52" spans="1:12" x14ac:dyDescent="0.3">
      <c r="A52" s="2">
        <v>46073</v>
      </c>
      <c r="B52" s="3" t="s">
        <v>44</v>
      </c>
      <c r="C52" t="s">
        <v>41</v>
      </c>
      <c r="D52" t="s">
        <v>28</v>
      </c>
      <c r="E52" t="s">
        <v>23</v>
      </c>
      <c r="F52" t="s">
        <v>29</v>
      </c>
      <c r="G52">
        <v>327</v>
      </c>
      <c r="H52" t="s">
        <v>20</v>
      </c>
      <c r="J52">
        <v>2000</v>
      </c>
      <c r="K52">
        <v>1673</v>
      </c>
      <c r="L52" t="s">
        <v>51</v>
      </c>
    </row>
    <row r="53" spans="1:12" x14ac:dyDescent="0.3">
      <c r="A53" s="2">
        <v>46074</v>
      </c>
      <c r="B53" s="3" t="s">
        <v>44</v>
      </c>
      <c r="C53" t="s">
        <v>41</v>
      </c>
      <c r="D53" t="s">
        <v>22</v>
      </c>
      <c r="E53" t="s">
        <v>23</v>
      </c>
      <c r="F53" t="s">
        <v>24</v>
      </c>
      <c r="G53">
        <v>417</v>
      </c>
      <c r="H53" t="s">
        <v>20</v>
      </c>
      <c r="J53">
        <v>5000</v>
      </c>
      <c r="K53">
        <v>4583</v>
      </c>
      <c r="L53" t="s">
        <v>47</v>
      </c>
    </row>
    <row r="54" spans="1:12" x14ac:dyDescent="0.3">
      <c r="A54" s="2">
        <v>46075</v>
      </c>
      <c r="B54" s="3" t="s">
        <v>44</v>
      </c>
      <c r="C54" t="s">
        <v>42</v>
      </c>
      <c r="D54" t="s">
        <v>41</v>
      </c>
      <c r="E54" t="s">
        <v>41</v>
      </c>
      <c r="F54" t="s">
        <v>15</v>
      </c>
      <c r="G54">
        <v>9538</v>
      </c>
      <c r="H54" t="s">
        <v>16</v>
      </c>
      <c r="J54">
        <v>0</v>
      </c>
      <c r="K54">
        <v>0</v>
      </c>
      <c r="L54" t="s">
        <v>54</v>
      </c>
    </row>
    <row r="55" spans="1:12" x14ac:dyDescent="0.3">
      <c r="A55" s="2">
        <v>46076</v>
      </c>
      <c r="B55" s="3" t="s">
        <v>44</v>
      </c>
      <c r="C55" t="s">
        <v>41</v>
      </c>
      <c r="D55" t="s">
        <v>31</v>
      </c>
      <c r="E55" t="s">
        <v>23</v>
      </c>
      <c r="F55" t="s">
        <v>32</v>
      </c>
      <c r="G55">
        <v>2610</v>
      </c>
      <c r="H55" t="s">
        <v>20</v>
      </c>
      <c r="J55">
        <v>5000</v>
      </c>
      <c r="K55">
        <v>2390</v>
      </c>
      <c r="L55" t="s">
        <v>48</v>
      </c>
    </row>
    <row r="56" spans="1:12" x14ac:dyDescent="0.3">
      <c r="A56" s="2">
        <v>46077</v>
      </c>
      <c r="B56" s="3" t="s">
        <v>44</v>
      </c>
      <c r="C56" t="s">
        <v>41</v>
      </c>
      <c r="D56" t="s">
        <v>28</v>
      </c>
      <c r="E56" t="s">
        <v>23</v>
      </c>
      <c r="F56" t="s">
        <v>29</v>
      </c>
      <c r="G56">
        <v>461</v>
      </c>
      <c r="H56" t="s">
        <v>20</v>
      </c>
      <c r="J56">
        <v>2000</v>
      </c>
      <c r="K56">
        <v>1539</v>
      </c>
      <c r="L56" t="s">
        <v>51</v>
      </c>
    </row>
    <row r="57" spans="1:12" x14ac:dyDescent="0.3">
      <c r="A57" s="2">
        <v>46078</v>
      </c>
      <c r="B57" s="3" t="s">
        <v>44</v>
      </c>
      <c r="C57" t="s">
        <v>41</v>
      </c>
      <c r="D57" t="s">
        <v>39</v>
      </c>
      <c r="E57" t="s">
        <v>23</v>
      </c>
      <c r="F57" t="s">
        <v>24</v>
      </c>
      <c r="G57">
        <v>1299</v>
      </c>
      <c r="H57" t="s">
        <v>20</v>
      </c>
      <c r="J57">
        <v>2000</v>
      </c>
      <c r="K57">
        <v>701</v>
      </c>
      <c r="L57" t="s">
        <v>49</v>
      </c>
    </row>
    <row r="58" spans="1:12" x14ac:dyDescent="0.3">
      <c r="A58" s="2">
        <v>46079</v>
      </c>
      <c r="B58" s="3" t="s">
        <v>44</v>
      </c>
      <c r="C58" t="s">
        <v>13</v>
      </c>
      <c r="D58" t="s">
        <v>41</v>
      </c>
      <c r="E58" t="s">
        <v>41</v>
      </c>
      <c r="F58" t="s">
        <v>15</v>
      </c>
      <c r="G58">
        <v>43212</v>
      </c>
      <c r="H58" t="s">
        <v>16</v>
      </c>
      <c r="J58">
        <v>0</v>
      </c>
      <c r="K58">
        <v>0</v>
      </c>
      <c r="L58" t="s">
        <v>17</v>
      </c>
    </row>
    <row r="59" spans="1:12" x14ac:dyDescent="0.3">
      <c r="A59" s="2">
        <v>46080</v>
      </c>
      <c r="B59" s="3" t="s">
        <v>44</v>
      </c>
      <c r="C59" t="s">
        <v>41</v>
      </c>
      <c r="D59" t="s">
        <v>39</v>
      </c>
      <c r="E59" t="s">
        <v>23</v>
      </c>
      <c r="F59" t="s">
        <v>24</v>
      </c>
      <c r="G59">
        <v>1577</v>
      </c>
      <c r="H59" t="s">
        <v>20</v>
      </c>
      <c r="J59">
        <v>2000</v>
      </c>
      <c r="K59">
        <v>423</v>
      </c>
      <c r="L59" t="s">
        <v>49</v>
      </c>
    </row>
    <row r="60" spans="1:12" x14ac:dyDescent="0.3">
      <c r="A60" s="2">
        <v>46081</v>
      </c>
      <c r="B60" s="3" t="s">
        <v>44</v>
      </c>
      <c r="C60" t="s">
        <v>41</v>
      </c>
      <c r="D60" t="s">
        <v>22</v>
      </c>
      <c r="E60" t="s">
        <v>23</v>
      </c>
      <c r="F60" t="s">
        <v>29</v>
      </c>
      <c r="G60">
        <v>965</v>
      </c>
      <c r="H60" t="s">
        <v>20</v>
      </c>
      <c r="J60">
        <v>5000</v>
      </c>
      <c r="K60">
        <v>4035</v>
      </c>
      <c r="L60" t="s">
        <v>47</v>
      </c>
    </row>
    <row r="61" spans="1:12" x14ac:dyDescent="0.3">
      <c r="A61" s="2">
        <v>46082</v>
      </c>
      <c r="B61" s="3" t="s">
        <v>45</v>
      </c>
      <c r="C61" t="s">
        <v>41</v>
      </c>
      <c r="D61" t="s">
        <v>28</v>
      </c>
      <c r="E61" t="s">
        <v>23</v>
      </c>
      <c r="F61" t="s">
        <v>24</v>
      </c>
      <c r="G61">
        <v>532</v>
      </c>
      <c r="H61" t="s">
        <v>20</v>
      </c>
      <c r="J61">
        <v>2000</v>
      </c>
      <c r="K61">
        <v>1468</v>
      </c>
      <c r="L61" t="s">
        <v>51</v>
      </c>
    </row>
    <row r="62" spans="1:12" x14ac:dyDescent="0.3">
      <c r="A62" s="2">
        <v>46083</v>
      </c>
      <c r="B62" s="3" t="s">
        <v>45</v>
      </c>
      <c r="C62" t="s">
        <v>42</v>
      </c>
      <c r="D62" t="s">
        <v>41</v>
      </c>
      <c r="E62" t="s">
        <v>41</v>
      </c>
      <c r="F62" t="s">
        <v>15</v>
      </c>
      <c r="G62">
        <v>6263</v>
      </c>
      <c r="H62" t="s">
        <v>16</v>
      </c>
      <c r="J62">
        <v>0</v>
      </c>
      <c r="K62">
        <v>0</v>
      </c>
      <c r="L62" t="s">
        <v>54</v>
      </c>
    </row>
    <row r="63" spans="1:12" x14ac:dyDescent="0.3">
      <c r="A63" s="2">
        <v>46084</v>
      </c>
      <c r="B63" s="3" t="s">
        <v>45</v>
      </c>
      <c r="C63" t="s">
        <v>41</v>
      </c>
      <c r="D63" t="s">
        <v>31</v>
      </c>
      <c r="E63" t="s">
        <v>23</v>
      </c>
      <c r="F63" t="s">
        <v>32</v>
      </c>
      <c r="G63">
        <v>2638</v>
      </c>
      <c r="H63" t="s">
        <v>20</v>
      </c>
      <c r="J63">
        <v>5000</v>
      </c>
      <c r="K63">
        <v>2362</v>
      </c>
      <c r="L63" t="s">
        <v>48</v>
      </c>
    </row>
    <row r="64" spans="1:12" x14ac:dyDescent="0.3">
      <c r="A64" s="2">
        <v>46085</v>
      </c>
      <c r="B64" s="3" t="s">
        <v>45</v>
      </c>
      <c r="C64" t="s">
        <v>41</v>
      </c>
      <c r="D64" t="s">
        <v>28</v>
      </c>
      <c r="E64" t="s">
        <v>23</v>
      </c>
      <c r="F64" t="s">
        <v>24</v>
      </c>
      <c r="G64">
        <v>376</v>
      </c>
      <c r="H64" t="s">
        <v>20</v>
      </c>
      <c r="J64">
        <v>2000</v>
      </c>
      <c r="K64">
        <v>1624</v>
      </c>
      <c r="L64" t="s">
        <v>51</v>
      </c>
    </row>
    <row r="65" spans="1:12" x14ac:dyDescent="0.3">
      <c r="A65" s="2">
        <v>46086</v>
      </c>
      <c r="B65" s="3" t="s">
        <v>45</v>
      </c>
      <c r="C65" t="s">
        <v>41</v>
      </c>
      <c r="D65" t="s">
        <v>39</v>
      </c>
      <c r="E65" t="s">
        <v>23</v>
      </c>
      <c r="F65" t="s">
        <v>24</v>
      </c>
      <c r="G65">
        <v>310</v>
      </c>
      <c r="H65" t="s">
        <v>20</v>
      </c>
      <c r="J65">
        <v>2000</v>
      </c>
      <c r="K65">
        <v>1690</v>
      </c>
      <c r="L65" t="s">
        <v>49</v>
      </c>
    </row>
    <row r="66" spans="1:12" x14ac:dyDescent="0.3">
      <c r="A66" s="2">
        <v>46087</v>
      </c>
      <c r="B66" s="3" t="s">
        <v>45</v>
      </c>
      <c r="C66" t="s">
        <v>36</v>
      </c>
      <c r="D66" t="s">
        <v>41</v>
      </c>
      <c r="E66" t="s">
        <v>41</v>
      </c>
      <c r="F66" t="s">
        <v>15</v>
      </c>
      <c r="G66">
        <v>11098</v>
      </c>
      <c r="H66" t="s">
        <v>16</v>
      </c>
      <c r="J66">
        <v>0</v>
      </c>
      <c r="K66">
        <v>0</v>
      </c>
      <c r="L66" t="s">
        <v>53</v>
      </c>
    </row>
    <row r="67" spans="1:12" x14ac:dyDescent="0.3">
      <c r="A67" s="2">
        <v>46088</v>
      </c>
      <c r="B67" s="3" t="s">
        <v>45</v>
      </c>
      <c r="C67" t="s">
        <v>41</v>
      </c>
      <c r="D67" t="s">
        <v>28</v>
      </c>
      <c r="E67" t="s">
        <v>23</v>
      </c>
      <c r="F67" t="s">
        <v>24</v>
      </c>
      <c r="G67">
        <v>536</v>
      </c>
      <c r="H67" t="s">
        <v>20</v>
      </c>
      <c r="J67">
        <v>2000</v>
      </c>
      <c r="K67">
        <v>1464</v>
      </c>
      <c r="L67" t="s">
        <v>51</v>
      </c>
    </row>
    <row r="68" spans="1:12" x14ac:dyDescent="0.3">
      <c r="A68" s="2">
        <v>46089</v>
      </c>
      <c r="B68" s="3" t="s">
        <v>45</v>
      </c>
      <c r="C68" t="s">
        <v>41</v>
      </c>
      <c r="D68" t="s">
        <v>28</v>
      </c>
      <c r="E68" t="s">
        <v>23</v>
      </c>
      <c r="F68" t="s">
        <v>29</v>
      </c>
      <c r="G68">
        <v>409</v>
      </c>
      <c r="H68" t="s">
        <v>20</v>
      </c>
      <c r="J68">
        <v>2000</v>
      </c>
      <c r="K68">
        <v>1591</v>
      </c>
      <c r="L68" t="s">
        <v>51</v>
      </c>
    </row>
    <row r="69" spans="1:12" x14ac:dyDescent="0.3">
      <c r="A69" s="2">
        <v>46090</v>
      </c>
      <c r="B69" s="3" t="s">
        <v>45</v>
      </c>
      <c r="C69" t="s">
        <v>41</v>
      </c>
      <c r="D69" t="s">
        <v>22</v>
      </c>
      <c r="E69" t="s">
        <v>23</v>
      </c>
      <c r="F69" t="s">
        <v>29</v>
      </c>
      <c r="G69">
        <v>367</v>
      </c>
      <c r="H69" t="s">
        <v>20</v>
      </c>
      <c r="J69">
        <v>5000</v>
      </c>
      <c r="K69">
        <v>4633</v>
      </c>
      <c r="L69" t="s">
        <v>47</v>
      </c>
    </row>
    <row r="70" spans="1:12" x14ac:dyDescent="0.3">
      <c r="A70" s="2">
        <v>46091</v>
      </c>
      <c r="B70" s="3" t="s">
        <v>45</v>
      </c>
      <c r="C70" t="s">
        <v>26</v>
      </c>
      <c r="D70" t="s">
        <v>41</v>
      </c>
      <c r="E70" t="s">
        <v>41</v>
      </c>
      <c r="F70" t="s">
        <v>15</v>
      </c>
      <c r="G70">
        <v>2233</v>
      </c>
      <c r="H70" t="s">
        <v>16</v>
      </c>
      <c r="J70">
        <v>0</v>
      </c>
      <c r="K70">
        <v>0</v>
      </c>
      <c r="L70" t="s">
        <v>50</v>
      </c>
    </row>
    <row r="71" spans="1:12" x14ac:dyDescent="0.3">
      <c r="A71" s="2">
        <v>46092</v>
      </c>
      <c r="B71" s="3" t="s">
        <v>45</v>
      </c>
      <c r="C71" t="s">
        <v>41</v>
      </c>
      <c r="D71" t="s">
        <v>31</v>
      </c>
      <c r="E71" t="s">
        <v>23</v>
      </c>
      <c r="F71" t="s">
        <v>32</v>
      </c>
      <c r="G71">
        <v>4541</v>
      </c>
      <c r="H71" t="s">
        <v>20</v>
      </c>
      <c r="J71">
        <v>5000</v>
      </c>
      <c r="K71">
        <v>459</v>
      </c>
      <c r="L71" t="s">
        <v>48</v>
      </c>
    </row>
    <row r="72" spans="1:12" x14ac:dyDescent="0.3">
      <c r="A72" s="2">
        <v>46093</v>
      </c>
      <c r="B72" s="3" t="s">
        <v>45</v>
      </c>
      <c r="C72" t="s">
        <v>41</v>
      </c>
      <c r="D72" t="s">
        <v>34</v>
      </c>
      <c r="E72" t="s">
        <v>19</v>
      </c>
      <c r="F72" t="s">
        <v>15</v>
      </c>
      <c r="G72">
        <v>5702</v>
      </c>
      <c r="H72" t="s">
        <v>20</v>
      </c>
      <c r="J72">
        <v>8000</v>
      </c>
      <c r="K72">
        <v>2298</v>
      </c>
      <c r="L72" t="s">
        <v>52</v>
      </c>
    </row>
    <row r="73" spans="1:12" x14ac:dyDescent="0.3">
      <c r="A73" s="2">
        <v>46094</v>
      </c>
      <c r="B73" s="3" t="s">
        <v>45</v>
      </c>
      <c r="C73" t="s">
        <v>41</v>
      </c>
      <c r="D73" t="s">
        <v>28</v>
      </c>
      <c r="E73" t="s">
        <v>23</v>
      </c>
      <c r="F73" t="s">
        <v>29</v>
      </c>
      <c r="G73">
        <v>127</v>
      </c>
      <c r="H73" t="s">
        <v>20</v>
      </c>
      <c r="J73">
        <v>2000</v>
      </c>
      <c r="K73">
        <v>1873</v>
      </c>
      <c r="L73" t="s">
        <v>51</v>
      </c>
    </row>
    <row r="74" spans="1:12" x14ac:dyDescent="0.3">
      <c r="A74" s="2">
        <v>46095</v>
      </c>
      <c r="B74" s="3" t="s">
        <v>45</v>
      </c>
      <c r="C74" t="s">
        <v>42</v>
      </c>
      <c r="D74" t="s">
        <v>41</v>
      </c>
      <c r="E74" t="s">
        <v>41</v>
      </c>
      <c r="F74" t="s">
        <v>15</v>
      </c>
      <c r="G74">
        <v>1872</v>
      </c>
      <c r="H74" t="s">
        <v>16</v>
      </c>
      <c r="J74">
        <v>0</v>
      </c>
      <c r="K74">
        <v>0</v>
      </c>
      <c r="L74" t="s">
        <v>54</v>
      </c>
    </row>
    <row r="75" spans="1:12" x14ac:dyDescent="0.3">
      <c r="A75" s="2">
        <v>46096</v>
      </c>
      <c r="B75" s="3" t="s">
        <v>45</v>
      </c>
      <c r="C75" t="s">
        <v>41</v>
      </c>
      <c r="D75" t="s">
        <v>39</v>
      </c>
      <c r="E75" t="s">
        <v>23</v>
      </c>
      <c r="F75" t="s">
        <v>24</v>
      </c>
      <c r="G75">
        <v>1938</v>
      </c>
      <c r="H75" t="s">
        <v>20</v>
      </c>
      <c r="J75">
        <v>2000</v>
      </c>
      <c r="K75">
        <v>62</v>
      </c>
      <c r="L75" t="s">
        <v>49</v>
      </c>
    </row>
    <row r="76" spans="1:12" x14ac:dyDescent="0.3">
      <c r="A76" s="2">
        <v>46097</v>
      </c>
      <c r="B76" s="3" t="s">
        <v>45</v>
      </c>
      <c r="C76" t="s">
        <v>41</v>
      </c>
      <c r="D76" t="s">
        <v>22</v>
      </c>
      <c r="E76" t="s">
        <v>23</v>
      </c>
      <c r="F76" t="s">
        <v>24</v>
      </c>
      <c r="G76">
        <v>646</v>
      </c>
      <c r="H76" t="s">
        <v>20</v>
      </c>
      <c r="J76">
        <v>5000</v>
      </c>
      <c r="K76">
        <v>4354</v>
      </c>
      <c r="L76" t="s">
        <v>47</v>
      </c>
    </row>
    <row r="77" spans="1:12" x14ac:dyDescent="0.3">
      <c r="A77" s="2">
        <v>46098</v>
      </c>
      <c r="B77" s="3" t="s">
        <v>45</v>
      </c>
      <c r="C77" t="s">
        <v>41</v>
      </c>
      <c r="D77" t="s">
        <v>28</v>
      </c>
      <c r="E77" t="s">
        <v>23</v>
      </c>
      <c r="F77" t="s">
        <v>24</v>
      </c>
      <c r="G77">
        <v>328</v>
      </c>
      <c r="H77" t="s">
        <v>20</v>
      </c>
      <c r="J77">
        <v>2000</v>
      </c>
      <c r="K77">
        <v>1672</v>
      </c>
      <c r="L77" t="s">
        <v>51</v>
      </c>
    </row>
    <row r="78" spans="1:12" x14ac:dyDescent="0.3">
      <c r="A78" s="2">
        <v>46099</v>
      </c>
      <c r="B78" s="3" t="s">
        <v>45</v>
      </c>
      <c r="C78" t="s">
        <v>13</v>
      </c>
      <c r="D78" t="s">
        <v>41</v>
      </c>
      <c r="E78" t="s">
        <v>41</v>
      </c>
      <c r="F78" t="s">
        <v>15</v>
      </c>
      <c r="G78">
        <v>34375</v>
      </c>
      <c r="H78" t="s">
        <v>16</v>
      </c>
      <c r="J78">
        <v>0</v>
      </c>
      <c r="K78">
        <v>0</v>
      </c>
      <c r="L78" t="s">
        <v>17</v>
      </c>
    </row>
    <row r="79" spans="1:12" x14ac:dyDescent="0.3">
      <c r="A79" s="2">
        <v>46100</v>
      </c>
      <c r="B79" s="3" t="s">
        <v>45</v>
      </c>
      <c r="C79" t="s">
        <v>41</v>
      </c>
      <c r="D79" t="s">
        <v>22</v>
      </c>
      <c r="E79" t="s">
        <v>23</v>
      </c>
      <c r="F79" t="s">
        <v>29</v>
      </c>
      <c r="G79">
        <v>989</v>
      </c>
      <c r="H79" t="s">
        <v>20</v>
      </c>
      <c r="J79">
        <v>5000</v>
      </c>
      <c r="K79">
        <v>4011</v>
      </c>
      <c r="L79" t="s">
        <v>47</v>
      </c>
    </row>
    <row r="80" spans="1:12" x14ac:dyDescent="0.3">
      <c r="A80" s="2">
        <v>46101</v>
      </c>
      <c r="B80" s="3" t="s">
        <v>45</v>
      </c>
      <c r="C80" t="s">
        <v>41</v>
      </c>
      <c r="D80" t="s">
        <v>31</v>
      </c>
      <c r="E80" t="s">
        <v>23</v>
      </c>
      <c r="F80" t="s">
        <v>32</v>
      </c>
      <c r="G80">
        <v>3540</v>
      </c>
      <c r="H80" t="s">
        <v>20</v>
      </c>
      <c r="J80">
        <v>5000</v>
      </c>
      <c r="K80">
        <v>1460</v>
      </c>
      <c r="L80" t="s">
        <v>48</v>
      </c>
    </row>
    <row r="81" spans="1:12" x14ac:dyDescent="0.3">
      <c r="A81" s="2">
        <v>46102</v>
      </c>
      <c r="B81" s="3" t="s">
        <v>45</v>
      </c>
      <c r="C81" t="s">
        <v>41</v>
      </c>
      <c r="D81" t="s">
        <v>31</v>
      </c>
      <c r="E81" t="s">
        <v>23</v>
      </c>
      <c r="F81" t="s">
        <v>32</v>
      </c>
      <c r="G81">
        <v>2870</v>
      </c>
      <c r="H81" t="s">
        <v>20</v>
      </c>
      <c r="J81">
        <v>5000</v>
      </c>
      <c r="K81">
        <v>2130</v>
      </c>
      <c r="L81" t="s">
        <v>48</v>
      </c>
    </row>
    <row r="82" spans="1:12" x14ac:dyDescent="0.3">
      <c r="A82" s="2">
        <v>46103</v>
      </c>
      <c r="B82" s="3" t="s">
        <v>45</v>
      </c>
      <c r="C82" t="s">
        <v>13</v>
      </c>
      <c r="D82" t="s">
        <v>41</v>
      </c>
      <c r="E82" t="s">
        <v>41</v>
      </c>
      <c r="F82" t="s">
        <v>15</v>
      </c>
      <c r="G82">
        <v>30633</v>
      </c>
      <c r="H82" t="s">
        <v>16</v>
      </c>
      <c r="J82">
        <v>0</v>
      </c>
      <c r="K82">
        <v>0</v>
      </c>
      <c r="L82" t="s">
        <v>17</v>
      </c>
    </row>
    <row r="83" spans="1:12" x14ac:dyDescent="0.3">
      <c r="A83" s="2">
        <v>46104</v>
      </c>
      <c r="B83" s="3" t="s">
        <v>45</v>
      </c>
      <c r="C83" t="s">
        <v>41</v>
      </c>
      <c r="D83" t="s">
        <v>31</v>
      </c>
      <c r="E83" t="s">
        <v>23</v>
      </c>
      <c r="F83" t="s">
        <v>32</v>
      </c>
      <c r="G83">
        <v>4159</v>
      </c>
      <c r="H83" t="s">
        <v>20</v>
      </c>
      <c r="J83">
        <v>5000</v>
      </c>
      <c r="K83">
        <v>841</v>
      </c>
      <c r="L83" t="s">
        <v>48</v>
      </c>
    </row>
    <row r="84" spans="1:12" x14ac:dyDescent="0.3">
      <c r="A84" s="2">
        <v>46105</v>
      </c>
      <c r="B84" s="3" t="s">
        <v>45</v>
      </c>
      <c r="C84" t="s">
        <v>41</v>
      </c>
      <c r="D84" t="s">
        <v>31</v>
      </c>
      <c r="E84" t="s">
        <v>23</v>
      </c>
      <c r="F84" t="s">
        <v>32</v>
      </c>
      <c r="G84">
        <v>1546</v>
      </c>
      <c r="H84" t="s">
        <v>20</v>
      </c>
      <c r="J84">
        <v>5000</v>
      </c>
      <c r="K84">
        <v>3454</v>
      </c>
      <c r="L84" t="s">
        <v>48</v>
      </c>
    </row>
    <row r="85" spans="1:12" x14ac:dyDescent="0.3">
      <c r="A85" s="2">
        <v>46106</v>
      </c>
      <c r="B85" s="3" t="s">
        <v>45</v>
      </c>
      <c r="C85" t="s">
        <v>41</v>
      </c>
      <c r="D85" t="s">
        <v>34</v>
      </c>
      <c r="E85" t="s">
        <v>19</v>
      </c>
      <c r="F85" t="s">
        <v>15</v>
      </c>
      <c r="G85">
        <v>7477</v>
      </c>
      <c r="H85" t="s">
        <v>20</v>
      </c>
      <c r="J85">
        <v>8000</v>
      </c>
      <c r="K85">
        <v>523</v>
      </c>
      <c r="L85" t="s">
        <v>52</v>
      </c>
    </row>
    <row r="86" spans="1:12" x14ac:dyDescent="0.3">
      <c r="A86" s="2">
        <v>46107</v>
      </c>
      <c r="B86" s="3" t="s">
        <v>45</v>
      </c>
      <c r="C86" t="s">
        <v>42</v>
      </c>
      <c r="D86" t="s">
        <v>41</v>
      </c>
      <c r="E86" t="s">
        <v>41</v>
      </c>
      <c r="F86" t="s">
        <v>15</v>
      </c>
      <c r="G86">
        <v>7003</v>
      </c>
      <c r="H86" t="s">
        <v>16</v>
      </c>
      <c r="J86">
        <v>0</v>
      </c>
      <c r="K86">
        <v>0</v>
      </c>
      <c r="L86" t="s">
        <v>54</v>
      </c>
    </row>
    <row r="87" spans="1:12" x14ac:dyDescent="0.3">
      <c r="A87" s="2">
        <v>46108</v>
      </c>
      <c r="B87" s="3" t="s">
        <v>45</v>
      </c>
      <c r="C87" t="s">
        <v>41</v>
      </c>
      <c r="D87" t="s">
        <v>22</v>
      </c>
      <c r="E87" t="s">
        <v>23</v>
      </c>
      <c r="F87" t="s">
        <v>24</v>
      </c>
      <c r="G87">
        <v>554</v>
      </c>
      <c r="H87" t="s">
        <v>20</v>
      </c>
      <c r="J87">
        <v>5000</v>
      </c>
      <c r="K87">
        <v>4446</v>
      </c>
      <c r="L87" t="s">
        <v>47</v>
      </c>
    </row>
    <row r="88" spans="1:12" x14ac:dyDescent="0.3">
      <c r="A88" s="2">
        <v>46109</v>
      </c>
      <c r="B88" s="3" t="s">
        <v>45</v>
      </c>
      <c r="C88" t="s">
        <v>41</v>
      </c>
      <c r="D88" t="s">
        <v>34</v>
      </c>
      <c r="E88" t="s">
        <v>19</v>
      </c>
      <c r="F88" t="s">
        <v>15</v>
      </c>
      <c r="G88">
        <v>9101</v>
      </c>
      <c r="H88" t="s">
        <v>20</v>
      </c>
      <c r="J88">
        <v>8000</v>
      </c>
      <c r="K88">
        <v>-1101</v>
      </c>
      <c r="L88" t="s">
        <v>52</v>
      </c>
    </row>
    <row r="89" spans="1:12" x14ac:dyDescent="0.3">
      <c r="A89" s="2">
        <v>46110</v>
      </c>
      <c r="B89" s="3" t="s">
        <v>45</v>
      </c>
      <c r="C89" t="s">
        <v>41</v>
      </c>
      <c r="D89" t="s">
        <v>22</v>
      </c>
      <c r="E89" t="s">
        <v>23</v>
      </c>
      <c r="F89" t="s">
        <v>24</v>
      </c>
      <c r="G89">
        <v>115</v>
      </c>
      <c r="H89" t="s">
        <v>20</v>
      </c>
      <c r="J89">
        <v>5000</v>
      </c>
      <c r="K89">
        <v>4885</v>
      </c>
      <c r="L89" t="s">
        <v>47</v>
      </c>
    </row>
    <row r="90" spans="1:12" x14ac:dyDescent="0.3">
      <c r="A90" s="2">
        <v>46111</v>
      </c>
      <c r="B90" s="3" t="s">
        <v>45</v>
      </c>
      <c r="C90" t="s">
        <v>26</v>
      </c>
      <c r="D90" t="s">
        <v>41</v>
      </c>
      <c r="E90" t="s">
        <v>41</v>
      </c>
      <c r="F90" t="s">
        <v>15</v>
      </c>
      <c r="G90">
        <v>14346</v>
      </c>
      <c r="H90" t="s">
        <v>16</v>
      </c>
      <c r="J90">
        <v>0</v>
      </c>
      <c r="K90">
        <v>0</v>
      </c>
      <c r="L90" t="s">
        <v>50</v>
      </c>
    </row>
    <row r="91" spans="1:12" x14ac:dyDescent="0.3">
      <c r="A91" s="2">
        <v>46112</v>
      </c>
      <c r="B91" s="3" t="s">
        <v>45</v>
      </c>
      <c r="C91" t="s">
        <v>41</v>
      </c>
      <c r="D91" t="s">
        <v>39</v>
      </c>
      <c r="E91" t="s">
        <v>23</v>
      </c>
      <c r="F91" t="s">
        <v>24</v>
      </c>
      <c r="G91">
        <v>1775</v>
      </c>
      <c r="H91" t="s">
        <v>20</v>
      </c>
      <c r="J91">
        <v>2000</v>
      </c>
      <c r="K91">
        <v>225</v>
      </c>
      <c r="L91" t="s">
        <v>49</v>
      </c>
    </row>
    <row r="92" spans="1:12" x14ac:dyDescent="0.3">
      <c r="A92" s="2">
        <v>46113</v>
      </c>
      <c r="B92" s="3" t="s">
        <v>46</v>
      </c>
      <c r="C92" t="s">
        <v>41</v>
      </c>
      <c r="D92" t="s">
        <v>31</v>
      </c>
      <c r="E92" t="s">
        <v>23</v>
      </c>
      <c r="F92" t="s">
        <v>32</v>
      </c>
      <c r="G92">
        <v>1784</v>
      </c>
      <c r="H92" t="s">
        <v>20</v>
      </c>
      <c r="J92">
        <v>5000</v>
      </c>
      <c r="K92">
        <v>3216</v>
      </c>
      <c r="L92" t="s">
        <v>48</v>
      </c>
    </row>
    <row r="93" spans="1:12" x14ac:dyDescent="0.3">
      <c r="A93" s="2">
        <v>46114</v>
      </c>
      <c r="B93" s="3" t="s">
        <v>46</v>
      </c>
      <c r="C93" t="s">
        <v>41</v>
      </c>
      <c r="D93" t="s">
        <v>22</v>
      </c>
      <c r="E93" t="s">
        <v>23</v>
      </c>
      <c r="F93" t="s">
        <v>29</v>
      </c>
      <c r="G93">
        <v>717</v>
      </c>
      <c r="H93" t="s">
        <v>20</v>
      </c>
      <c r="J93">
        <v>5000</v>
      </c>
      <c r="K93">
        <v>4283</v>
      </c>
      <c r="L93" t="s">
        <v>47</v>
      </c>
    </row>
    <row r="94" spans="1:12" x14ac:dyDescent="0.3">
      <c r="A94" s="2">
        <v>46115</v>
      </c>
      <c r="B94" s="3" t="s">
        <v>46</v>
      </c>
      <c r="C94" t="s">
        <v>13</v>
      </c>
      <c r="D94" t="s">
        <v>41</v>
      </c>
      <c r="E94" t="s">
        <v>41</v>
      </c>
      <c r="F94" t="s">
        <v>15</v>
      </c>
      <c r="G94">
        <v>41684</v>
      </c>
      <c r="H94" t="s">
        <v>16</v>
      </c>
      <c r="J94">
        <v>0</v>
      </c>
      <c r="K94">
        <v>0</v>
      </c>
      <c r="L94" t="s">
        <v>17</v>
      </c>
    </row>
    <row r="95" spans="1:12" x14ac:dyDescent="0.3">
      <c r="A95" s="2">
        <v>46116</v>
      </c>
      <c r="B95" s="3" t="s">
        <v>46</v>
      </c>
      <c r="C95" t="s">
        <v>41</v>
      </c>
      <c r="D95" t="s">
        <v>34</v>
      </c>
      <c r="E95" t="s">
        <v>19</v>
      </c>
      <c r="F95" t="s">
        <v>15</v>
      </c>
      <c r="G95">
        <v>11175</v>
      </c>
      <c r="H95" t="s">
        <v>20</v>
      </c>
      <c r="J95">
        <v>8000</v>
      </c>
      <c r="K95">
        <v>-3175</v>
      </c>
      <c r="L95" t="s">
        <v>52</v>
      </c>
    </row>
    <row r="96" spans="1:12" x14ac:dyDescent="0.3">
      <c r="A96" s="2">
        <v>46117</v>
      </c>
      <c r="B96" s="3" t="s">
        <v>46</v>
      </c>
      <c r="C96" t="s">
        <v>41</v>
      </c>
      <c r="D96" t="s">
        <v>39</v>
      </c>
      <c r="E96" t="s">
        <v>23</v>
      </c>
      <c r="F96" t="s">
        <v>24</v>
      </c>
      <c r="G96">
        <v>215</v>
      </c>
      <c r="H96" t="s">
        <v>20</v>
      </c>
      <c r="J96">
        <v>2000</v>
      </c>
      <c r="K96">
        <v>1785</v>
      </c>
      <c r="L96" t="s">
        <v>49</v>
      </c>
    </row>
    <row r="97" spans="1:12" x14ac:dyDescent="0.3">
      <c r="A97" s="2">
        <v>46118</v>
      </c>
      <c r="B97" s="3" t="s">
        <v>46</v>
      </c>
      <c r="C97" t="s">
        <v>41</v>
      </c>
      <c r="D97" t="s">
        <v>34</v>
      </c>
      <c r="E97" t="s">
        <v>19</v>
      </c>
      <c r="F97" t="s">
        <v>15</v>
      </c>
      <c r="G97">
        <v>6351</v>
      </c>
      <c r="H97" t="s">
        <v>20</v>
      </c>
      <c r="J97">
        <v>8000</v>
      </c>
      <c r="K97">
        <v>1649</v>
      </c>
      <c r="L97" t="s">
        <v>52</v>
      </c>
    </row>
    <row r="98" spans="1:12" x14ac:dyDescent="0.3">
      <c r="A98" s="2">
        <v>46119</v>
      </c>
      <c r="B98" s="3" t="s">
        <v>46</v>
      </c>
      <c r="C98" t="s">
        <v>42</v>
      </c>
      <c r="D98" t="s">
        <v>41</v>
      </c>
      <c r="E98" t="s">
        <v>41</v>
      </c>
      <c r="F98" t="s">
        <v>15</v>
      </c>
      <c r="G98">
        <v>9869</v>
      </c>
      <c r="H98" t="s">
        <v>16</v>
      </c>
      <c r="J98">
        <v>0</v>
      </c>
      <c r="K98">
        <v>0</v>
      </c>
      <c r="L98" t="s">
        <v>54</v>
      </c>
    </row>
    <row r="99" spans="1:12" x14ac:dyDescent="0.3">
      <c r="A99" s="2">
        <v>46120</v>
      </c>
      <c r="B99" s="3" t="s">
        <v>46</v>
      </c>
      <c r="C99" t="s">
        <v>41</v>
      </c>
      <c r="D99" t="s">
        <v>22</v>
      </c>
      <c r="E99" t="s">
        <v>23</v>
      </c>
      <c r="F99" t="s">
        <v>29</v>
      </c>
      <c r="G99">
        <v>861</v>
      </c>
      <c r="H99" t="s">
        <v>20</v>
      </c>
      <c r="J99">
        <v>5000</v>
      </c>
      <c r="K99">
        <v>4139</v>
      </c>
      <c r="L99" t="s">
        <v>47</v>
      </c>
    </row>
    <row r="100" spans="1:12" x14ac:dyDescent="0.3">
      <c r="A100" s="2">
        <v>46121</v>
      </c>
      <c r="B100" s="3" t="s">
        <v>46</v>
      </c>
      <c r="C100" t="s">
        <v>41</v>
      </c>
      <c r="D100" t="s">
        <v>31</v>
      </c>
      <c r="E100" t="s">
        <v>23</v>
      </c>
      <c r="F100" t="s">
        <v>32</v>
      </c>
      <c r="G100">
        <v>2866</v>
      </c>
      <c r="H100" t="s">
        <v>20</v>
      </c>
      <c r="J100">
        <v>5000</v>
      </c>
      <c r="K100">
        <v>2134</v>
      </c>
      <c r="L100" t="s">
        <v>48</v>
      </c>
    </row>
    <row r="101" spans="1:12" x14ac:dyDescent="0.3">
      <c r="A101" s="2">
        <v>46122</v>
      </c>
      <c r="B101" s="3" t="s">
        <v>46</v>
      </c>
      <c r="C101" t="s">
        <v>41</v>
      </c>
      <c r="D101" t="s">
        <v>31</v>
      </c>
      <c r="E101" t="s">
        <v>23</v>
      </c>
      <c r="F101" t="s">
        <v>32</v>
      </c>
      <c r="G101">
        <v>1133</v>
      </c>
      <c r="H101" t="s">
        <v>20</v>
      </c>
      <c r="J101">
        <v>5000</v>
      </c>
      <c r="K101">
        <v>3867</v>
      </c>
      <c r="L101" t="s">
        <v>48</v>
      </c>
    </row>
    <row r="102" spans="1:12" x14ac:dyDescent="0.3">
      <c r="A102" s="2"/>
      <c r="B102" s="3"/>
      <c r="G102" s="4"/>
      <c r="J102" s="4"/>
      <c r="K102"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0AEBD-9259-4F5C-BF4A-9DF97544846C}">
  <dimension ref="A1:J25"/>
  <sheetViews>
    <sheetView workbookViewId="0">
      <selection activeCell="A32" sqref="A32"/>
    </sheetView>
  </sheetViews>
  <sheetFormatPr defaultRowHeight="14.4" x14ac:dyDescent="0.3"/>
  <cols>
    <col min="1" max="1" width="21" customWidth="1"/>
    <col min="2" max="2" width="18.77734375" customWidth="1"/>
    <col min="3" max="3" width="15.44140625" customWidth="1"/>
    <col min="4" max="4" width="29.109375" customWidth="1"/>
  </cols>
  <sheetData>
    <row r="1" spans="1:10" ht="28.8" x14ac:dyDescent="0.3">
      <c r="A1" s="24" t="s">
        <v>60</v>
      </c>
      <c r="B1" s="25" t="s">
        <v>43</v>
      </c>
      <c r="C1" s="26" t="s">
        <v>59</v>
      </c>
      <c r="D1" s="27" t="s">
        <v>10</v>
      </c>
    </row>
    <row r="2" spans="1:10" x14ac:dyDescent="0.3">
      <c r="A2" s="22" t="s">
        <v>18</v>
      </c>
      <c r="B2" s="5">
        <v>60000</v>
      </c>
      <c r="C2" s="6">
        <f>SUMIFS(Table1[Amount],Table1[Expense Category],A2,Table1[Indicator],"Expense")</f>
        <v>156864</v>
      </c>
      <c r="D2" s="23">
        <f>B2-C2</f>
        <v>-96864</v>
      </c>
    </row>
    <row r="3" spans="1:10" x14ac:dyDescent="0.3">
      <c r="A3" s="22" t="s">
        <v>22</v>
      </c>
      <c r="B3" s="5">
        <v>20000</v>
      </c>
      <c r="C3" s="6">
        <f>SUMIFS(Table1[Amount],Table1[Expense Category],A3,Table1[Indicator],"Expense")</f>
        <v>9775</v>
      </c>
      <c r="D3" s="23">
        <f>B3-C3</f>
        <v>10225</v>
      </c>
    </row>
    <row r="4" spans="1:10" x14ac:dyDescent="0.3">
      <c r="A4" s="22" t="s">
        <v>28</v>
      </c>
      <c r="B4" s="5">
        <v>8000</v>
      </c>
      <c r="C4" s="6">
        <f>SUMIFS(Table1[Amount],Table1[Expense Category],A4,Table1[Indicator],"Expense")</f>
        <v>7193</v>
      </c>
      <c r="D4" s="23">
        <f>B4-C4</f>
        <v>807</v>
      </c>
    </row>
    <row r="5" spans="1:10" x14ac:dyDescent="0.3">
      <c r="A5" s="22" t="s">
        <v>31</v>
      </c>
      <c r="B5" s="5">
        <v>20000</v>
      </c>
      <c r="C5" s="6">
        <f>SUMIFS(Table1[Amount],Table1[Expense Category],A5,Table1[Indicator],"Expense")</f>
        <v>36615</v>
      </c>
      <c r="D5" s="23">
        <f>B5-C5</f>
        <v>-16615</v>
      </c>
      <c r="G5" s="1"/>
      <c r="H5" s="1"/>
    </row>
    <row r="6" spans="1:10" x14ac:dyDescent="0.3">
      <c r="A6" s="22" t="s">
        <v>34</v>
      </c>
      <c r="B6" s="5">
        <v>32000</v>
      </c>
      <c r="C6" s="6">
        <f>SUMIFS(Table1[Amount],Table1[Expense Category],A6,Table1[Indicator],"Expense")</f>
        <v>75673</v>
      </c>
      <c r="D6" s="23">
        <f>B6-C6</f>
        <v>-43673</v>
      </c>
      <c r="G6" s="3"/>
      <c r="H6" s="3"/>
    </row>
    <row r="7" spans="1:10" x14ac:dyDescent="0.3">
      <c r="A7" s="22" t="s">
        <v>39</v>
      </c>
      <c r="B7" s="5">
        <v>8000</v>
      </c>
      <c r="C7" s="6">
        <f>SUMIFS(Table1[Amount],Table1[Expense Category],A7,Table1[Indicator],"Expense")</f>
        <v>9112</v>
      </c>
      <c r="D7" s="23">
        <f>B7-C7</f>
        <v>-1112</v>
      </c>
      <c r="G7" s="3"/>
      <c r="H7" s="3"/>
    </row>
    <row r="8" spans="1:10" x14ac:dyDescent="0.3">
      <c r="A8" s="28" t="s">
        <v>61</v>
      </c>
      <c r="B8" s="29">
        <f>SUM(B2:B7)</f>
        <v>148000</v>
      </c>
      <c r="C8" s="29">
        <f>SUM(C2:C7)</f>
        <v>295232</v>
      </c>
      <c r="D8" s="21">
        <f>SUM(D2:D7)</f>
        <v>-147232</v>
      </c>
      <c r="G8" s="3"/>
      <c r="H8" s="3"/>
    </row>
    <row r="9" spans="1:10" x14ac:dyDescent="0.3">
      <c r="B9" s="3"/>
      <c r="C9" s="3"/>
      <c r="G9" s="3"/>
      <c r="H9" s="3"/>
    </row>
    <row r="13" spans="1:10" x14ac:dyDescent="0.3">
      <c r="I13" s="1"/>
      <c r="J13" s="1"/>
    </row>
    <row r="14" spans="1:10" x14ac:dyDescent="0.3">
      <c r="I14" s="3"/>
      <c r="J14" s="3"/>
    </row>
    <row r="15" spans="1:10" x14ac:dyDescent="0.3">
      <c r="I15" s="3"/>
      <c r="J15" s="3"/>
    </row>
    <row r="16" spans="1:10" x14ac:dyDescent="0.3">
      <c r="I16" s="3"/>
      <c r="J16" s="3"/>
    </row>
    <row r="17" spans="8:10" x14ac:dyDescent="0.3">
      <c r="I17" s="3"/>
      <c r="J17" s="3"/>
    </row>
    <row r="19" spans="8:10" x14ac:dyDescent="0.3">
      <c r="H19" s="1"/>
      <c r="I19" s="1"/>
      <c r="J19" s="1"/>
    </row>
    <row r="20" spans="8:10" x14ac:dyDescent="0.3">
      <c r="H20" s="3"/>
      <c r="I20" s="3"/>
      <c r="J20" s="3"/>
    </row>
    <row r="21" spans="8:10" x14ac:dyDescent="0.3">
      <c r="H21" s="3"/>
      <c r="I21" s="3"/>
      <c r="J21" s="3"/>
    </row>
    <row r="22" spans="8:10" x14ac:dyDescent="0.3">
      <c r="H22" s="3"/>
      <c r="I22" s="3"/>
      <c r="J22" s="3"/>
    </row>
    <row r="23" spans="8:10" x14ac:dyDescent="0.3">
      <c r="H23" s="3"/>
      <c r="I23" s="3"/>
      <c r="J23" s="3"/>
    </row>
    <row r="24" spans="8:10" x14ac:dyDescent="0.3">
      <c r="H24" s="3"/>
      <c r="I24" s="3"/>
      <c r="J24" s="3"/>
    </row>
    <row r="25" spans="8:10" x14ac:dyDescent="0.3">
      <c r="H25" s="3"/>
      <c r="I25" s="3"/>
      <c r="J25" s="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656EC-6450-47B4-ADDE-FDA96820D3B6}">
  <dimension ref="A1:B7"/>
  <sheetViews>
    <sheetView workbookViewId="0">
      <selection sqref="A1:B7"/>
    </sheetView>
  </sheetViews>
  <sheetFormatPr defaultRowHeight="14.4" x14ac:dyDescent="0.3"/>
  <cols>
    <col min="1" max="1" width="15.6640625" bestFit="1" customWidth="1"/>
    <col min="2" max="2" width="12" bestFit="1" customWidth="1"/>
  </cols>
  <sheetData>
    <row r="1" spans="1:2" x14ac:dyDescent="0.3">
      <c r="A1" s="17" t="s">
        <v>55</v>
      </c>
      <c r="B1" s="18" t="s">
        <v>63</v>
      </c>
    </row>
    <row r="2" spans="1:2" x14ac:dyDescent="0.3">
      <c r="A2" s="13" t="s">
        <v>56</v>
      </c>
      <c r="B2" s="14">
        <f>SUMIFS(Table1[Amount],Table1[Indicator],"Income")</f>
        <v>480199</v>
      </c>
    </row>
    <row r="3" spans="1:2" x14ac:dyDescent="0.3">
      <c r="A3" s="13" t="s">
        <v>57</v>
      </c>
      <c r="B3" s="14">
        <f>SUMIFS(Table1[Amount],Table1[Indicator],"Expense")</f>
        <v>295232</v>
      </c>
    </row>
    <row r="4" spans="1:2" x14ac:dyDescent="0.3">
      <c r="A4" s="13" t="s">
        <v>58</v>
      </c>
      <c r="B4" s="14">
        <f>B2-B3</f>
        <v>184967</v>
      </c>
    </row>
    <row r="5" spans="1:2" x14ac:dyDescent="0.3">
      <c r="A5" s="13" t="s">
        <v>62</v>
      </c>
      <c r="B5" s="15">
        <f>IFERROR(B4/B2,0)</f>
        <v>0.38518822404877978</v>
      </c>
    </row>
    <row r="6" spans="1:2" x14ac:dyDescent="0.3">
      <c r="A6" s="13" t="s">
        <v>64</v>
      </c>
      <c r="B6" s="16">
        <f>SUM('Budget Planning'!B2:B7)</f>
        <v>148000</v>
      </c>
    </row>
    <row r="7" spans="1:2" x14ac:dyDescent="0.3">
      <c r="A7" s="19" t="s">
        <v>10</v>
      </c>
      <c r="B7" s="20">
        <f>SUM('Budget Planning'!D2:D8)</f>
        <v>-294464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2841B-4CF7-4124-8432-0C2C51C133C4}">
  <dimension ref="A1:D37"/>
  <sheetViews>
    <sheetView topLeftCell="A9" workbookViewId="0">
      <selection activeCell="A26" sqref="A26"/>
    </sheetView>
  </sheetViews>
  <sheetFormatPr defaultRowHeight="14.4" x14ac:dyDescent="0.3"/>
  <cols>
    <col min="1" max="1" width="12.44140625" bestFit="1" customWidth="1"/>
    <col min="2" max="2" width="13.5546875" bestFit="1" customWidth="1"/>
    <col min="3" max="3" width="7.21875" bestFit="1" customWidth="1"/>
    <col min="4" max="4" width="10.5546875" bestFit="1" customWidth="1"/>
  </cols>
  <sheetData>
    <row r="1" spans="1:4" x14ac:dyDescent="0.3">
      <c r="A1" s="7" t="s">
        <v>7</v>
      </c>
      <c r="B1" t="s">
        <v>69</v>
      </c>
    </row>
    <row r="3" spans="1:4" x14ac:dyDescent="0.3">
      <c r="A3" s="7" t="s">
        <v>65</v>
      </c>
      <c r="B3" t="s">
        <v>68</v>
      </c>
    </row>
    <row r="4" spans="1:4" x14ac:dyDescent="0.3">
      <c r="A4" s="8"/>
      <c r="B4" s="9">
        <v>410199</v>
      </c>
    </row>
    <row r="5" spans="1:4" x14ac:dyDescent="0.3">
      <c r="A5" s="8" t="s">
        <v>34</v>
      </c>
      <c r="B5" s="9">
        <v>75673</v>
      </c>
    </row>
    <row r="6" spans="1:4" x14ac:dyDescent="0.3">
      <c r="A6" s="8" t="s">
        <v>39</v>
      </c>
      <c r="B6" s="9">
        <v>9112</v>
      </c>
    </row>
    <row r="7" spans="1:4" x14ac:dyDescent="0.3">
      <c r="A7" s="8" t="s">
        <v>22</v>
      </c>
      <c r="B7" s="9">
        <v>9775</v>
      </c>
    </row>
    <row r="8" spans="1:4" x14ac:dyDescent="0.3">
      <c r="A8" s="8" t="s">
        <v>18</v>
      </c>
      <c r="B8" s="9">
        <v>156864</v>
      </c>
    </row>
    <row r="9" spans="1:4" x14ac:dyDescent="0.3">
      <c r="A9" s="8" t="s">
        <v>31</v>
      </c>
      <c r="B9" s="9">
        <v>36615</v>
      </c>
    </row>
    <row r="10" spans="1:4" x14ac:dyDescent="0.3">
      <c r="A10" s="8" t="s">
        <v>28</v>
      </c>
      <c r="B10" s="9">
        <v>7193</v>
      </c>
    </row>
    <row r="11" spans="1:4" x14ac:dyDescent="0.3">
      <c r="A11" s="8" t="s">
        <v>66</v>
      </c>
      <c r="B11" s="9">
        <v>70000</v>
      </c>
    </row>
    <row r="12" spans="1:4" x14ac:dyDescent="0.3">
      <c r="A12" s="8" t="s">
        <v>67</v>
      </c>
      <c r="B12" s="9">
        <v>775431</v>
      </c>
    </row>
    <row r="13" spans="1:4" x14ac:dyDescent="0.3">
      <c r="A13" s="7" t="s">
        <v>68</v>
      </c>
      <c r="B13" s="7" t="s">
        <v>70</v>
      </c>
    </row>
    <row r="14" spans="1:4" x14ac:dyDescent="0.3">
      <c r="A14" s="7" t="s">
        <v>65</v>
      </c>
      <c r="B14" t="s">
        <v>20</v>
      </c>
      <c r="C14" t="s">
        <v>16</v>
      </c>
      <c r="D14" t="s">
        <v>67</v>
      </c>
    </row>
    <row r="15" spans="1:4" x14ac:dyDescent="0.3">
      <c r="A15" s="8" t="s">
        <v>12</v>
      </c>
      <c r="B15" s="9">
        <v>114615</v>
      </c>
      <c r="C15" s="9">
        <v>200609</v>
      </c>
      <c r="D15" s="9">
        <v>315224</v>
      </c>
    </row>
    <row r="16" spans="1:4" x14ac:dyDescent="0.3">
      <c r="A16" s="8" t="s">
        <v>44</v>
      </c>
      <c r="B16" s="9">
        <v>104939</v>
      </c>
      <c r="C16" s="9">
        <v>120214</v>
      </c>
      <c r="D16" s="9">
        <v>225153</v>
      </c>
    </row>
    <row r="17" spans="1:4" x14ac:dyDescent="0.3">
      <c r="A17" s="8" t="s">
        <v>45</v>
      </c>
      <c r="B17" s="9">
        <v>50576</v>
      </c>
      <c r="C17" s="9">
        <v>107823</v>
      </c>
      <c r="D17" s="9">
        <v>158399</v>
      </c>
    </row>
    <row r="18" spans="1:4" x14ac:dyDescent="0.3">
      <c r="A18" s="8" t="s">
        <v>46</v>
      </c>
      <c r="B18" s="9">
        <v>25102</v>
      </c>
      <c r="C18" s="9">
        <v>51553</v>
      </c>
      <c r="D18" s="9">
        <v>76655</v>
      </c>
    </row>
    <row r="19" spans="1:4" x14ac:dyDescent="0.3">
      <c r="A19" s="8" t="s">
        <v>67</v>
      </c>
      <c r="B19" s="9">
        <v>295232</v>
      </c>
      <c r="C19" s="9">
        <v>480199</v>
      </c>
      <c r="D19" s="9">
        <v>775431</v>
      </c>
    </row>
    <row r="23" spans="1:4" x14ac:dyDescent="0.3">
      <c r="A23" s="7" t="s">
        <v>65</v>
      </c>
      <c r="B23" t="s">
        <v>68</v>
      </c>
    </row>
    <row r="24" spans="1:4" x14ac:dyDescent="0.3">
      <c r="A24" s="8" t="s">
        <v>15</v>
      </c>
      <c r="B24" s="12">
        <v>0.90883134669622445</v>
      </c>
    </row>
    <row r="25" spans="1:4" x14ac:dyDescent="0.3">
      <c r="A25" s="8" t="s">
        <v>29</v>
      </c>
      <c r="B25" s="12">
        <v>9.1987552728740526E-3</v>
      </c>
    </row>
    <row r="26" spans="1:4" x14ac:dyDescent="0.3">
      <c r="A26" s="8" t="s">
        <v>32</v>
      </c>
      <c r="B26" s="12">
        <v>4.7218901488333583E-2</v>
      </c>
    </row>
    <row r="27" spans="1:4" x14ac:dyDescent="0.3">
      <c r="A27" s="8" t="s">
        <v>24</v>
      </c>
      <c r="B27" s="12">
        <v>3.4750996542567941E-2</v>
      </c>
    </row>
    <row r="28" spans="1:4" x14ac:dyDescent="0.3">
      <c r="A28" s="8" t="s">
        <v>67</v>
      </c>
      <c r="B28" s="12">
        <v>1</v>
      </c>
    </row>
    <row r="31" spans="1:4" x14ac:dyDescent="0.3">
      <c r="A31" s="7" t="s">
        <v>7</v>
      </c>
      <c r="B31" t="s">
        <v>69</v>
      </c>
    </row>
    <row r="33" spans="1:2" x14ac:dyDescent="0.3">
      <c r="A33" s="7" t="s">
        <v>65</v>
      </c>
      <c r="B33" t="s">
        <v>68</v>
      </c>
    </row>
    <row r="34" spans="1:2" x14ac:dyDescent="0.3">
      <c r="A34" s="8"/>
      <c r="B34" s="12">
        <v>0.61926722042322269</v>
      </c>
    </row>
    <row r="35" spans="1:2" x14ac:dyDescent="0.3">
      <c r="A35" s="8" t="s">
        <v>19</v>
      </c>
      <c r="B35" s="12">
        <v>0.29988096942216652</v>
      </c>
    </row>
    <row r="36" spans="1:2" x14ac:dyDescent="0.3">
      <c r="A36" s="8" t="s">
        <v>23</v>
      </c>
      <c r="B36" s="12">
        <v>8.0851810154610793E-2</v>
      </c>
    </row>
    <row r="37" spans="1:2" x14ac:dyDescent="0.3">
      <c r="A37" s="8" t="s">
        <v>67</v>
      </c>
      <c r="B37" s="12">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68520-0400-40D2-BFC1-4F7FF00E52AA}">
  <dimension ref="A1:Q2"/>
  <sheetViews>
    <sheetView zoomScale="70" workbookViewId="0">
      <selection activeCell="Z29" sqref="Z29"/>
    </sheetView>
  </sheetViews>
  <sheetFormatPr defaultRowHeight="14.4" x14ac:dyDescent="0.3"/>
  <cols>
    <col min="1" max="8" width="8.88671875" style="11"/>
    <col min="9" max="9" width="12.44140625" style="11" bestFit="1" customWidth="1"/>
    <col min="10" max="16384" width="8.88671875" style="11"/>
  </cols>
  <sheetData>
    <row r="1" spans="1:17" ht="21" customHeight="1" x14ac:dyDescent="0.3">
      <c r="A1" s="10" t="s">
        <v>71</v>
      </c>
      <c r="B1" s="10"/>
      <c r="C1" s="10"/>
      <c r="D1" s="10"/>
      <c r="E1" s="10"/>
      <c r="F1" s="10"/>
      <c r="G1" s="10"/>
      <c r="H1" s="10"/>
      <c r="I1" s="10"/>
      <c r="J1" s="10"/>
      <c r="K1" s="10"/>
      <c r="L1" s="10"/>
      <c r="M1" s="10"/>
      <c r="N1" s="10"/>
      <c r="O1" s="10"/>
      <c r="P1" s="10"/>
      <c r="Q1" s="10"/>
    </row>
    <row r="2" spans="1:17" ht="14.4" customHeight="1" x14ac:dyDescent="0.3">
      <c r="A2" s="10"/>
      <c r="B2" s="10"/>
      <c r="C2" s="10"/>
      <c r="D2" s="10"/>
      <c r="E2" s="10"/>
      <c r="F2" s="10"/>
      <c r="G2" s="10"/>
      <c r="H2" s="10"/>
      <c r="I2" s="10"/>
      <c r="J2" s="10"/>
      <c r="K2" s="10"/>
      <c r="L2" s="10"/>
      <c r="M2" s="10"/>
      <c r="N2" s="10"/>
      <c r="O2" s="10"/>
      <c r="P2" s="10"/>
      <c r="Q2" s="10"/>
    </row>
  </sheetData>
  <mergeCells count="1">
    <mergeCell ref="A1:Q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Cleaned Data</vt:lpstr>
      <vt:lpstr>Budget Planning</vt:lpstr>
      <vt:lpstr>KPI Summary</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Yugaesh S</dc:creator>
  <cp:lastModifiedBy>Yugaesh S</cp:lastModifiedBy>
  <dcterms:created xsi:type="dcterms:W3CDTF">2026-04-14T15:30:31Z</dcterms:created>
  <dcterms:modified xsi:type="dcterms:W3CDTF">2026-04-14T18:55:11Z</dcterms:modified>
</cp:coreProperties>
</file>